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05de2480f939450/Documents/"/>
    </mc:Choice>
  </mc:AlternateContent>
  <xr:revisionPtr revIDLastSave="446" documentId="8_{EB4CFA0E-A0C6-43D7-B035-DC093D59C5F0}" xr6:coauthVersionLast="47" xr6:coauthVersionMax="47" xr10:uidLastSave="{5BA500E9-646F-4334-AFE1-A8218EE4FC0B}"/>
  <bookViews>
    <workbookView xWindow="-120" yWindow="-120" windowWidth="20730" windowHeight="11040" tabRatio="500" xr2:uid="{00000000-000D-0000-FFFF-FFFF00000000}"/>
  </bookViews>
  <sheets>
    <sheet name="Base de ventes" sheetId="1" r:id="rId1"/>
    <sheet name="KPIs &amp; Dashboard" sheetId="2" r:id="rId2"/>
    <sheet name="Rentabilité produits" sheetId="3" r:id="rId3"/>
  </sheets>
  <functionGroups builtInGroupCount="19"/>
  <definedNames>
    <definedName name="_xleta.BASE" hidden="1" xlm="1">#NAME?</definedName>
    <definedName name="_xleta.IF" hidden="1" xlm="1">#NAME?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16" i="2" l="1"/>
  <c r="D17" i="2"/>
  <c r="D18" i="2"/>
  <c r="D19" i="2"/>
  <c r="D20" i="2"/>
  <c r="D21" i="2"/>
  <c r="D22" i="2"/>
  <c r="D23" i="2"/>
  <c r="E17" i="2"/>
  <c r="E18" i="2"/>
  <c r="E19" i="2"/>
  <c r="E20" i="2"/>
  <c r="E21" i="2"/>
  <c r="E22" i="2"/>
  <c r="E23" i="2"/>
  <c r="E16" i="2"/>
  <c r="A4" i="2"/>
  <c r="B4" i="2"/>
  <c r="F190" i="1"/>
  <c r="C16" i="2"/>
  <c r="C17" i="2"/>
  <c r="C18" i="2"/>
  <c r="C19" i="2"/>
  <c r="C21" i="2"/>
  <c r="C20" i="2"/>
  <c r="C23" i="2"/>
  <c r="C22" i="2"/>
  <c r="B23" i="2"/>
  <c r="B22" i="2"/>
  <c r="B21" i="2"/>
  <c r="B20" i="2"/>
  <c r="B19" i="2"/>
  <c r="B18" i="2"/>
  <c r="B17" i="2"/>
  <c r="B16" i="2"/>
  <c r="G70" i="1"/>
  <c r="H70" i="1" s="1"/>
  <c r="I70" i="1" s="1"/>
  <c r="G71" i="1"/>
  <c r="G72" i="1"/>
  <c r="G73" i="1"/>
  <c r="H73" i="1" s="1"/>
  <c r="G74" i="1"/>
  <c r="G75" i="1"/>
  <c r="G76" i="1"/>
  <c r="H76" i="1" s="1"/>
  <c r="G77" i="1"/>
  <c r="H77" i="1" s="1"/>
  <c r="G78" i="1"/>
  <c r="G79" i="1"/>
  <c r="G80" i="1"/>
  <c r="H80" i="1" s="1"/>
  <c r="G81" i="1"/>
  <c r="H81" i="1" s="1"/>
  <c r="G82" i="1"/>
  <c r="H82" i="1" s="1"/>
  <c r="I82" i="1" s="1"/>
  <c r="G83" i="1"/>
  <c r="G84" i="1"/>
  <c r="G85" i="1"/>
  <c r="H85" i="1" s="1"/>
  <c r="G86" i="1"/>
  <c r="H86" i="1" s="1"/>
  <c r="I86" i="1" s="1"/>
  <c r="G87" i="1"/>
  <c r="G88" i="1"/>
  <c r="G89" i="1"/>
  <c r="H89" i="1" s="1"/>
  <c r="G90" i="1"/>
  <c r="G91" i="1"/>
  <c r="G92" i="1"/>
  <c r="H92" i="1" s="1"/>
  <c r="G93" i="1"/>
  <c r="H93" i="1" s="1"/>
  <c r="G94" i="1"/>
  <c r="H94" i="1" s="1"/>
  <c r="I94" i="1" s="1"/>
  <c r="G95" i="1"/>
  <c r="G96" i="1"/>
  <c r="H96" i="1" s="1"/>
  <c r="G97" i="1"/>
  <c r="H97" i="1" s="1"/>
  <c r="G98" i="1"/>
  <c r="G99" i="1"/>
  <c r="G100" i="1"/>
  <c r="G101" i="1"/>
  <c r="H101" i="1" s="1"/>
  <c r="G102" i="1"/>
  <c r="H102" i="1" s="1"/>
  <c r="I102" i="1" s="1"/>
  <c r="G103" i="1"/>
  <c r="G104" i="1"/>
  <c r="G105" i="1"/>
  <c r="H105" i="1" s="1"/>
  <c r="G106" i="1"/>
  <c r="H106" i="1" s="1"/>
  <c r="I106" i="1" s="1"/>
  <c r="G107" i="1"/>
  <c r="G108" i="1"/>
  <c r="H108" i="1" s="1"/>
  <c r="G109" i="1"/>
  <c r="H109" i="1" s="1"/>
  <c r="G110" i="1"/>
  <c r="G111" i="1"/>
  <c r="G112" i="1"/>
  <c r="H112" i="1" s="1"/>
  <c r="G113" i="1"/>
  <c r="H113" i="1" s="1"/>
  <c r="G114" i="1"/>
  <c r="H114" i="1" s="1"/>
  <c r="I114" i="1" s="1"/>
  <c r="G115" i="1"/>
  <c r="G116" i="1"/>
  <c r="G117" i="1"/>
  <c r="H117" i="1" s="1"/>
  <c r="G118" i="1"/>
  <c r="H118" i="1" s="1"/>
  <c r="I118" i="1" s="1"/>
  <c r="G119" i="1"/>
  <c r="G120" i="1"/>
  <c r="G121" i="1"/>
  <c r="H121" i="1" s="1"/>
  <c r="G122" i="1"/>
  <c r="G123" i="1"/>
  <c r="G124" i="1"/>
  <c r="H124" i="1" s="1"/>
  <c r="G125" i="1"/>
  <c r="H125" i="1" s="1"/>
  <c r="G126" i="1"/>
  <c r="H126" i="1" s="1"/>
  <c r="I126" i="1" s="1"/>
  <c r="G127" i="1"/>
  <c r="G128" i="1"/>
  <c r="H128" i="1" s="1"/>
  <c r="G129" i="1"/>
  <c r="H129" i="1" s="1"/>
  <c r="G130" i="1"/>
  <c r="G131" i="1"/>
  <c r="G132" i="1"/>
  <c r="G133" i="1"/>
  <c r="H133" i="1" s="1"/>
  <c r="G134" i="1"/>
  <c r="H134" i="1" s="1"/>
  <c r="I134" i="1" s="1"/>
  <c r="G135" i="1"/>
  <c r="G136" i="1"/>
  <c r="G137" i="1"/>
  <c r="H137" i="1" s="1"/>
  <c r="G138" i="1"/>
  <c r="H138" i="1" s="1"/>
  <c r="I138" i="1" s="1"/>
  <c r="G139" i="1"/>
  <c r="G140" i="1"/>
  <c r="H140" i="1" s="1"/>
  <c r="G141" i="1"/>
  <c r="H141" i="1" s="1"/>
  <c r="G142" i="1"/>
  <c r="G143" i="1"/>
  <c r="G144" i="1"/>
  <c r="H144" i="1" s="1"/>
  <c r="G145" i="1"/>
  <c r="H145" i="1" s="1"/>
  <c r="G146" i="1"/>
  <c r="H146" i="1" s="1"/>
  <c r="I146" i="1" s="1"/>
  <c r="G147" i="1"/>
  <c r="G148" i="1"/>
  <c r="G149" i="1"/>
  <c r="H149" i="1" s="1"/>
  <c r="G150" i="1"/>
  <c r="H150" i="1" s="1"/>
  <c r="G151" i="1"/>
  <c r="G152" i="1"/>
  <c r="H152" i="1" s="1"/>
  <c r="G153" i="1"/>
  <c r="H153" i="1" s="1"/>
  <c r="G154" i="1"/>
  <c r="H154" i="1" s="1"/>
  <c r="G155" i="1"/>
  <c r="G156" i="1"/>
  <c r="G157" i="1"/>
  <c r="H157" i="1" s="1"/>
  <c r="G158" i="1"/>
  <c r="H158" i="1" s="1"/>
  <c r="G159" i="1"/>
  <c r="G160" i="1"/>
  <c r="H160" i="1" s="1"/>
  <c r="G161" i="1"/>
  <c r="H161" i="1" s="1"/>
  <c r="G162" i="1"/>
  <c r="H162" i="1" s="1"/>
  <c r="G163" i="1"/>
  <c r="G164" i="1"/>
  <c r="G165" i="1"/>
  <c r="H165" i="1" s="1"/>
  <c r="I165" i="1" s="1"/>
  <c r="G166" i="1"/>
  <c r="H166" i="1" s="1"/>
  <c r="G167" i="1"/>
  <c r="G168" i="1"/>
  <c r="H168" i="1" s="1"/>
  <c r="G169" i="1"/>
  <c r="H169" i="1" s="1"/>
  <c r="I169" i="1" s="1"/>
  <c r="G170" i="1"/>
  <c r="H170" i="1" s="1"/>
  <c r="G171" i="1"/>
  <c r="G172" i="1"/>
  <c r="G173" i="1"/>
  <c r="H173" i="1" s="1"/>
  <c r="I173" i="1" s="1"/>
  <c r="G174" i="1"/>
  <c r="H174" i="1" s="1"/>
  <c r="G175" i="1"/>
  <c r="G176" i="1"/>
  <c r="H176" i="1" s="1"/>
  <c r="G177" i="1"/>
  <c r="H177" i="1" s="1"/>
  <c r="I177" i="1" s="1"/>
  <c r="G178" i="1"/>
  <c r="H178" i="1" s="1"/>
  <c r="G179" i="1"/>
  <c r="G180" i="1"/>
  <c r="G181" i="1"/>
  <c r="H181" i="1" s="1"/>
  <c r="I181" i="1" s="1"/>
  <c r="G182" i="1"/>
  <c r="H182" i="1" s="1"/>
  <c r="G183" i="1"/>
  <c r="G184" i="1"/>
  <c r="H184" i="1" s="1"/>
  <c r="G185" i="1"/>
  <c r="H185" i="1" s="1"/>
  <c r="I185" i="1" s="1"/>
  <c r="G186" i="1"/>
  <c r="H186" i="1" s="1"/>
  <c r="G187" i="1"/>
  <c r="G188" i="1"/>
  <c r="G189" i="1"/>
  <c r="H189" i="1" s="1"/>
  <c r="I189" i="1" s="1"/>
  <c r="G65" i="1"/>
  <c r="G66" i="1"/>
  <c r="G67" i="1"/>
  <c r="H67" i="1" s="1"/>
  <c r="G68" i="1"/>
  <c r="G69" i="1"/>
  <c r="H69" i="1" s="1"/>
  <c r="G63" i="1"/>
  <c r="G64" i="1"/>
  <c r="H64" i="1" s="1"/>
  <c r="G62" i="1"/>
  <c r="E62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2" i="1"/>
  <c r="H188" i="1"/>
  <c r="I188" i="1" s="1"/>
  <c r="H187" i="1"/>
  <c r="I187" i="1" s="1"/>
  <c r="H183" i="1"/>
  <c r="I183" i="1" s="1"/>
  <c r="H180" i="1"/>
  <c r="I180" i="1" s="1"/>
  <c r="H179" i="1"/>
  <c r="I179" i="1" s="1"/>
  <c r="H175" i="1"/>
  <c r="H172" i="1"/>
  <c r="I172" i="1" s="1"/>
  <c r="H171" i="1"/>
  <c r="I171" i="1" s="1"/>
  <c r="H167" i="1"/>
  <c r="H164" i="1"/>
  <c r="I164" i="1" s="1"/>
  <c r="H163" i="1"/>
  <c r="I163" i="1" s="1"/>
  <c r="H159" i="1"/>
  <c r="H156" i="1"/>
  <c r="I156" i="1" s="1"/>
  <c r="H155" i="1"/>
  <c r="I155" i="1" s="1"/>
  <c r="H151" i="1"/>
  <c r="H148" i="1"/>
  <c r="I148" i="1" s="1"/>
  <c r="H147" i="1"/>
  <c r="I147" i="1" s="1"/>
  <c r="H143" i="1"/>
  <c r="I143" i="1" s="1"/>
  <c r="H142" i="1"/>
  <c r="I142" i="1" s="1"/>
  <c r="H139" i="1"/>
  <c r="H136" i="1"/>
  <c r="H135" i="1"/>
  <c r="H132" i="1"/>
  <c r="I132" i="1" s="1"/>
  <c r="H131" i="1"/>
  <c r="I131" i="1" s="1"/>
  <c r="H130" i="1"/>
  <c r="I130" i="1" s="1"/>
  <c r="H127" i="1"/>
  <c r="I127" i="1" s="1"/>
  <c r="H123" i="1"/>
  <c r="H122" i="1"/>
  <c r="I122" i="1" s="1"/>
  <c r="H120" i="1"/>
  <c r="H119" i="1"/>
  <c r="H116" i="1"/>
  <c r="I116" i="1" s="1"/>
  <c r="H115" i="1"/>
  <c r="I115" i="1" s="1"/>
  <c r="H111" i="1"/>
  <c r="I111" i="1" s="1"/>
  <c r="H110" i="1"/>
  <c r="I110" i="1" s="1"/>
  <c r="H107" i="1"/>
  <c r="H104" i="1"/>
  <c r="H103" i="1"/>
  <c r="H100" i="1"/>
  <c r="I100" i="1" s="1"/>
  <c r="H99" i="1"/>
  <c r="I99" i="1" s="1"/>
  <c r="H98" i="1"/>
  <c r="I98" i="1" s="1"/>
  <c r="H95" i="1"/>
  <c r="I95" i="1" s="1"/>
  <c r="H91" i="1"/>
  <c r="H90" i="1"/>
  <c r="I90" i="1" s="1"/>
  <c r="H88" i="1"/>
  <c r="H87" i="1"/>
  <c r="H84" i="1"/>
  <c r="I84" i="1" s="1"/>
  <c r="H83" i="1"/>
  <c r="I83" i="1" s="1"/>
  <c r="H79" i="1"/>
  <c r="I79" i="1" s="1"/>
  <c r="H78" i="1"/>
  <c r="I78" i="1" s="1"/>
  <c r="H75" i="1"/>
  <c r="H74" i="1"/>
  <c r="H72" i="1"/>
  <c r="H71" i="1"/>
  <c r="H68" i="1"/>
  <c r="I68" i="1" s="1"/>
  <c r="H66" i="1"/>
  <c r="H65" i="1"/>
  <c r="I65" i="1" s="1"/>
  <c r="H63" i="1"/>
  <c r="I63" i="1" s="1"/>
  <c r="H62" i="1"/>
  <c r="F11" i="2" a="1"/>
  <c r="F10" i="2" a="1"/>
  <c r="F9" i="2" a="1"/>
  <c r="F8" i="2" a="1"/>
  <c r="G8" i="2" a="1"/>
  <c r="G10" i="2" a="1"/>
  <c r="G9" i="2" a="1"/>
  <c r="B10" i="2" a="1"/>
  <c r="B9" i="2" a="1"/>
  <c r="B8" i="2" a="1"/>
  <c r="B11" i="2" a="1"/>
  <c r="G11" i="2" a="1"/>
  <c r="B12" i="2" a="1"/>
  <c r="I66" i="1" l="1"/>
  <c r="I161" i="1"/>
  <c r="I157" i="1"/>
  <c r="I153" i="1"/>
  <c r="I149" i="1"/>
  <c r="I67" i="1"/>
  <c r="I184" i="1"/>
  <c r="I176" i="1"/>
  <c r="I168" i="1"/>
  <c r="I160" i="1"/>
  <c r="I152" i="1"/>
  <c r="I144" i="1"/>
  <c r="I140" i="1"/>
  <c r="I128" i="1"/>
  <c r="I124" i="1"/>
  <c r="I112" i="1"/>
  <c r="I108" i="1"/>
  <c r="I96" i="1"/>
  <c r="I92" i="1"/>
  <c r="I80" i="1"/>
  <c r="I76" i="1"/>
  <c r="I62" i="1"/>
  <c r="I74" i="1"/>
  <c r="I64" i="1"/>
  <c r="I75" i="1"/>
  <c r="I91" i="1"/>
  <c r="I107" i="1"/>
  <c r="I123" i="1"/>
  <c r="I139" i="1"/>
  <c r="I151" i="1"/>
  <c r="I159" i="1"/>
  <c r="I167" i="1"/>
  <c r="I175" i="1"/>
  <c r="I71" i="1"/>
  <c r="I87" i="1"/>
  <c r="I103" i="1"/>
  <c r="I119" i="1"/>
  <c r="I135" i="1"/>
  <c r="I69" i="1"/>
  <c r="I186" i="1"/>
  <c r="I182" i="1"/>
  <c r="I178" i="1"/>
  <c r="I174" i="1"/>
  <c r="I170" i="1"/>
  <c r="I166" i="1"/>
  <c r="I162" i="1"/>
  <c r="I158" i="1"/>
  <c r="I154" i="1"/>
  <c r="I150" i="1"/>
  <c r="I72" i="1"/>
  <c r="I88" i="1"/>
  <c r="I104" i="1"/>
  <c r="I120" i="1"/>
  <c r="I136" i="1"/>
  <c r="I145" i="1"/>
  <c r="F22" i="2" s="1"/>
  <c r="I141" i="1"/>
  <c r="I137" i="1"/>
  <c r="I133" i="1"/>
  <c r="I129" i="1"/>
  <c r="I125" i="1"/>
  <c r="I121" i="1"/>
  <c r="I117" i="1"/>
  <c r="I113" i="1"/>
  <c r="I109" i="1"/>
  <c r="I105" i="1"/>
  <c r="I101" i="1"/>
  <c r="I97" i="1"/>
  <c r="F20" i="2" s="1"/>
  <c r="I93" i="1"/>
  <c r="I89" i="1"/>
  <c r="I85" i="1"/>
  <c r="I81" i="1"/>
  <c r="I77" i="1"/>
  <c r="I73" i="1"/>
  <c r="F11" i="2"/>
  <c r="F10" i="2"/>
  <c r="F9" i="2"/>
  <c r="F8" i="2"/>
  <c r="G8" i="2"/>
  <c r="B12" i="2"/>
  <c r="B8" i="2"/>
  <c r="B11" i="2"/>
  <c r="G11" i="2"/>
  <c r="H11" i="2" s="1"/>
  <c r="G10" i="2"/>
  <c r="H10" i="2" s="1"/>
  <c r="G9" i="2"/>
  <c r="B10" i="2"/>
  <c r="B9" i="2"/>
  <c r="E5" i="3"/>
  <c r="F5" i="3" s="1"/>
  <c r="E6" i="3"/>
  <c r="F6" i="3" s="1"/>
  <c r="E7" i="3"/>
  <c r="F7" i="3" s="1"/>
  <c r="E8" i="3"/>
  <c r="F8" i="3" s="1"/>
  <c r="E9" i="3"/>
  <c r="F9" i="3" s="1"/>
  <c r="E10" i="3"/>
  <c r="F10" i="3" s="1"/>
  <c r="E11" i="3"/>
  <c r="F11" i="3" s="1"/>
  <c r="E4" i="3"/>
  <c r="F4" i="3" s="1"/>
  <c r="F19" i="2" l="1"/>
  <c r="F21" i="2"/>
  <c r="F23" i="2"/>
  <c r="H8" i="2"/>
  <c r="H9" i="2"/>
  <c r="G3" i="1"/>
  <c r="H3" i="1" s="1"/>
  <c r="G4" i="1"/>
  <c r="H4" i="1" s="1"/>
  <c r="G5" i="1"/>
  <c r="H5" i="1" s="1"/>
  <c r="G6" i="1"/>
  <c r="H6" i="1" s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2" i="1"/>
  <c r="H2" i="1" s="1"/>
  <c r="H190" i="1" s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N3" i="1"/>
  <c r="N4" i="1"/>
  <c r="N5" i="1"/>
  <c r="N6" i="1"/>
  <c r="N7" i="1"/>
  <c r="N8" i="1"/>
  <c r="N9" i="1"/>
  <c r="N2" i="1"/>
  <c r="I2" i="1" l="1"/>
  <c r="I58" i="1"/>
  <c r="I54" i="1"/>
  <c r="I50" i="1"/>
  <c r="I46" i="1"/>
  <c r="I42" i="1"/>
  <c r="I38" i="1"/>
  <c r="I34" i="1"/>
  <c r="I30" i="1"/>
  <c r="I26" i="1"/>
  <c r="I22" i="1"/>
  <c r="I18" i="1"/>
  <c r="I14" i="1"/>
  <c r="I10" i="1"/>
  <c r="I6" i="1"/>
  <c r="I61" i="1"/>
  <c r="I57" i="1"/>
  <c r="I53" i="1"/>
  <c r="I49" i="1"/>
  <c r="I45" i="1"/>
  <c r="I41" i="1"/>
  <c r="I37" i="1"/>
  <c r="I33" i="1"/>
  <c r="I29" i="1"/>
  <c r="I25" i="1"/>
  <c r="I21" i="1"/>
  <c r="I17" i="1"/>
  <c r="I13" i="1"/>
  <c r="I9" i="1"/>
  <c r="I5" i="1"/>
  <c r="I60" i="1"/>
  <c r="I56" i="1"/>
  <c r="I52" i="1"/>
  <c r="I48" i="1"/>
  <c r="I44" i="1"/>
  <c r="I40" i="1"/>
  <c r="I36" i="1"/>
  <c r="I32" i="1"/>
  <c r="I28" i="1"/>
  <c r="I24" i="1"/>
  <c r="I20" i="1"/>
  <c r="I16" i="1"/>
  <c r="I12" i="1"/>
  <c r="I8" i="1"/>
  <c r="I4" i="1"/>
  <c r="I59" i="1"/>
  <c r="I55" i="1"/>
  <c r="I51" i="1"/>
  <c r="I47" i="1"/>
  <c r="I43" i="1"/>
  <c r="I39" i="1"/>
  <c r="I35" i="1"/>
  <c r="I31" i="1"/>
  <c r="I27" i="1"/>
  <c r="I23" i="1"/>
  <c r="I19" i="1"/>
  <c r="I15" i="1"/>
  <c r="I11" i="1"/>
  <c r="I7" i="1"/>
  <c r="I3" i="1"/>
  <c r="F17" i="2" l="1"/>
  <c r="F18" i="2"/>
  <c r="D24" i="2"/>
  <c r="C4" i="2"/>
  <c r="C8" i="2"/>
  <c r="C11" i="2"/>
  <c r="C9" i="2"/>
  <c r="C12" i="2"/>
  <c r="C10" i="2"/>
  <c r="E24" i="2" l="1"/>
  <c r="F24" i="2" s="1"/>
  <c r="F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<sst xmlns="http://schemas.openxmlformats.org/spreadsheetml/2006/main" count="658" uniqueCount="65">
  <si>
    <t>Date</t>
  </si>
  <si>
    <t>Événement / Lieu</t>
  </si>
  <si>
    <t>Produit</t>
  </si>
  <si>
    <t>Catégorie</t>
  </si>
  <si>
    <t>Qté vendue</t>
  </si>
  <si>
    <t>Prix unitaire (€)</t>
  </si>
  <si>
    <t>CA journalier (€)</t>
  </si>
  <si>
    <t>Marge brute (€)</t>
  </si>
  <si>
    <t>Fourvière Festival – Lyon – Fourvière</t>
  </si>
  <si>
    <t>Plat chaud</t>
  </si>
  <si>
    <t>Bowl Yassa</t>
  </si>
  <si>
    <t>Marché de Caluire – Caluire-et-Cuire</t>
  </si>
  <si>
    <t>Mikate (beignet)</t>
  </si>
  <si>
    <t>Gourmandise</t>
  </si>
  <si>
    <t>Banane plantain</t>
  </si>
  <si>
    <t>Accompagnement</t>
  </si>
  <si>
    <t>Événement privé – Saint-Clair</t>
  </si>
  <si>
    <t>Jus gingembre</t>
  </si>
  <si>
    <t>Boisson</t>
  </si>
  <si>
    <t>Festival Miam Street Food – Lyon – Part-Dieu</t>
  </si>
  <si>
    <t>Bissap maison</t>
  </si>
  <si>
    <t>TOTAL</t>
  </si>
  <si>
    <t>📊  TABLEAU DE BORD — ACTIVITÉ COMMERCIALE  |  Mikate Bon Goût  |  Mai – Juillet 2025</t>
  </si>
  <si>
    <t>CA Total (€)</t>
  </si>
  <si>
    <t>Nb Transactions</t>
  </si>
  <si>
    <t>Panier Moyen (€)</t>
  </si>
  <si>
    <t>🏆  TOP 5 PRODUITS — CA généré</t>
  </si>
  <si>
    <t>📍  CA PAR ÉVÉNEMENT</t>
  </si>
  <si>
    <t>CA (€)</t>
  </si>
  <si>
    <t>% du CA total</t>
  </si>
  <si>
    <t>Événement</t>
  </si>
  <si>
    <t>Nb jours</t>
  </si>
  <si>
    <t>CA moy./jour (€)</t>
  </si>
  <si>
    <t>📅  ANALYSE HEBDOMADAIRE — CA simulé par semaine</t>
  </si>
  <si>
    <t>Semaine</t>
  </si>
  <si>
    <t>Marge (€)</t>
  </si>
  <si>
    <t>Taux marge</t>
  </si>
  <si>
    <t>S1 – 12/05 au 18/05</t>
  </si>
  <si>
    <t>S2 – 19/05 au 25/05</t>
  </si>
  <si>
    <t>S4 – 02/06 au 08/06</t>
  </si>
  <si>
    <t>S5 – 09/06 au 15/06</t>
  </si>
  <si>
    <t>S6 – 16/06 au 22/06</t>
  </si>
  <si>
    <t>S7 – 23/06 au 29/06</t>
  </si>
  <si>
    <t>S8 – 30/06 au 06/07</t>
  </si>
  <si>
    <t>💰  ANALYSE DE RENTABILITÉ PAR PRODUIT  |  Mikate Bon Goût  |  Stage 2025</t>
  </si>
  <si>
    <t>Prix vente (€)</t>
  </si>
  <si>
    <t>Coût matière (€)</t>
  </si>
  <si>
    <t>Taux de marge (%)</t>
  </si>
  <si>
    <t>Recommandation</t>
  </si>
  <si>
    <t>⭐ Garder en vedette</t>
  </si>
  <si>
    <t>✅ Conserver</t>
  </si>
  <si>
    <t>✅ Volume élevé</t>
  </si>
  <si>
    <t>⚠️ Marge faible</t>
  </si>
  <si>
    <t>✅ Bonne marge</t>
  </si>
  <si>
    <t>Légende :</t>
  </si>
  <si>
    <t xml:space="preserve">  Vert = marge ≥ 55%    Orange = marge 40–54%    Rouge = marge &lt; 40%</t>
  </si>
  <si>
    <t>Coût unitaire</t>
  </si>
  <si>
    <t>Samoussas (x4)</t>
  </si>
  <si>
    <t>Poulet curry</t>
  </si>
  <si>
    <t>Riz blanc</t>
  </si>
  <si>
    <t>Prix unitaire</t>
  </si>
  <si>
    <t>Taux de Marge sur Coût Unitaire</t>
  </si>
  <si>
    <t>Date début</t>
  </si>
  <si>
    <t>Date fin semaine</t>
  </si>
  <si>
    <t>S3 – 26/05 au 31/05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</si>
</sst>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€&quot;;[Red]\-#,##0\ &quot;€&quot;"/>
    <numFmt numFmtId="164" formatCode="#,##0.00&quot; €&quot;"/>
    <numFmt numFmtId="165" formatCode="0.0%"/>
    <numFmt numFmtId="166" formatCode="#,##0.0\ &quot;€&quot;;[Red]\-#,##0.0\ &quot;€&quot;"/>
    <numFmt numFmtId="167" formatCode="#,##0.00\ &quot;€&quot;"/>
  </numFmts>
  <fonts count="14" x14ac:knownFonts="1">
    <font>
      <sz val="11"/>
      <color theme="1"/>
      <name val="Calibri"/>
      <family val="2"/>
      <charset val="1"/>
    </font>
    <font>
      <b/>
      <sz val="10"/>
      <color rgb="FFFFFFFF"/>
      <name val="Arial"/>
      <charset val="1"/>
    </font>
    <font>
      <sz val="10"/>
      <color rgb="FF1A1A1A"/>
      <name val="Arial"/>
      <charset val="1"/>
    </font>
    <font>
      <b/>
      <sz val="10"/>
      <color rgb="FF1A1A1A"/>
      <name val="Arial"/>
      <charset val="1"/>
    </font>
    <font>
      <b/>
      <sz val="13"/>
      <color rgb="FFFFFFFF"/>
      <name val="Arial"/>
      <charset val="1"/>
    </font>
    <font>
      <b/>
      <sz val="9"/>
      <color rgb="FF757575"/>
      <name val="Arial"/>
      <charset val="1"/>
    </font>
    <font>
      <b/>
      <sz val="14"/>
      <color rgb="FF1A1A1A"/>
      <name val="Arial"/>
      <charset val="1"/>
    </font>
    <font>
      <b/>
      <sz val="11"/>
      <color rgb="FFFFFFFF"/>
      <name val="Arial"/>
      <charset val="1"/>
    </font>
    <font>
      <b/>
      <sz val="9"/>
      <color rgb="FFFFFFFF"/>
      <name val="Arial"/>
      <charset val="1"/>
    </font>
    <font>
      <i/>
      <sz val="9"/>
      <color rgb="FF616161"/>
      <name val="Arial"/>
      <charset val="1"/>
    </font>
    <font>
      <sz val="10"/>
      <name val="Arial"/>
      <charset val="1"/>
    </font>
    <font>
      <sz val="11"/>
      <color theme="1"/>
      <name val="Calibri"/>
      <family val="2"/>
      <charset val="1"/>
    </font>
    <font>
      <b/>
      <sz val="11"/>
      <name val="Calibri"/>
      <family val="2"/>
      <charset val="1"/>
    </font>
    <font>
      <b/>
      <sz val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1A1A1A"/>
        <bgColor rgb="FF003300"/>
      </patternFill>
    </fill>
    <fill>
      <patternFill patternType="solid">
        <fgColor rgb="FFFFFFFF"/>
        <bgColor rgb="FFF5F5F5"/>
      </patternFill>
    </fill>
    <fill>
      <patternFill patternType="solid">
        <fgColor rgb="FFF5F5F5"/>
        <bgColor rgb="FFE8F5E9"/>
      </patternFill>
    </fill>
    <fill>
      <patternFill patternType="solid">
        <fgColor rgb="FFFFC107"/>
        <bgColor rgb="FFFF9900"/>
      </patternFill>
    </fill>
    <fill>
      <patternFill patternType="solid">
        <fgColor rgb="FF424242"/>
        <bgColor rgb="FF616161"/>
      </patternFill>
    </fill>
    <fill>
      <patternFill patternType="solid">
        <fgColor rgb="FFE8F5E9"/>
        <bgColor rgb="FFF5F5F5"/>
      </patternFill>
    </fill>
    <fill>
      <patternFill patternType="solid">
        <fgColor rgb="FF00B050"/>
        <bgColor rgb="FFF5F5F5"/>
      </patternFill>
    </fill>
    <fill>
      <patternFill patternType="solid">
        <fgColor theme="0" tint="-4.9989318521683403E-2"/>
        <bgColor rgb="FFF5F5F5"/>
      </patternFill>
    </fill>
    <fill>
      <patternFill patternType="solid">
        <fgColor theme="0" tint="-4.9989318521683403E-2"/>
        <bgColor rgb="FFE8F5E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5F5F5"/>
        <bgColor rgb="FFFFFFFF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/>
      <top/>
      <bottom/>
      <diagonal/>
    </border>
    <border>
      <left style="thin">
        <color rgb="FFCCCCCC"/>
      </left>
      <right style="thin">
        <color rgb="FFCCCCCC"/>
      </right>
      <top/>
      <bottom/>
      <diagonal/>
    </border>
    <border>
      <left/>
      <right/>
      <top style="thin">
        <color rgb="FFCCCCCC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71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0" fontId="0" fillId="5" borderId="0" xfId="0" applyFill="1"/>
    <xf numFmtId="0" fontId="3" fillId="5" borderId="0" xfId="0" applyFont="1" applyFill="1" applyAlignment="1">
      <alignment horizontal="center"/>
    </xf>
    <xf numFmtId="164" fontId="3" fillId="5" borderId="0" xfId="0" applyNumberFormat="1" applyFont="1" applyFill="1" applyAlignment="1">
      <alignment horizontal="center"/>
    </xf>
    <xf numFmtId="0" fontId="5" fillId="4" borderId="1" xfId="0" applyFont="1" applyFill="1" applyBorder="1" applyAlignment="1">
      <alignment horizontal="center" vertical="center"/>
    </xf>
    <xf numFmtId="164" fontId="6" fillId="5" borderId="1" xfId="0" applyNumberFormat="1" applyFont="1" applyFill="1" applyBorder="1" applyAlignment="1">
      <alignment horizontal="center" vertical="center"/>
    </xf>
    <xf numFmtId="1" fontId="6" fillId="5" borderId="1" xfId="0" applyNumberFormat="1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/>
    </xf>
    <xf numFmtId="0" fontId="2" fillId="3" borderId="1" xfId="0" applyFont="1" applyFill="1" applyBorder="1"/>
    <xf numFmtId="164" fontId="0" fillId="3" borderId="1" xfId="0" applyNumberFormat="1" applyFill="1" applyBorder="1"/>
    <xf numFmtId="165" fontId="0" fillId="3" borderId="1" xfId="0" applyNumberFormat="1" applyFill="1" applyBorder="1"/>
    <xf numFmtId="0" fontId="0" fillId="3" borderId="1" xfId="0" applyFill="1" applyBorder="1" applyAlignment="1">
      <alignment horizontal="center"/>
    </xf>
    <xf numFmtId="0" fontId="2" fillId="4" borderId="1" xfId="0" applyFont="1" applyFill="1" applyBorder="1"/>
    <xf numFmtId="0" fontId="2" fillId="3" borderId="1" xfId="0" applyFont="1" applyFill="1" applyBorder="1" applyAlignment="1">
      <alignment horizontal="center"/>
    </xf>
    <xf numFmtId="164" fontId="0" fillId="7" borderId="1" xfId="0" applyNumberForma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3" fillId="0" borderId="0" xfId="0" applyFont="1"/>
    <xf numFmtId="0" fontId="9" fillId="0" borderId="0" xfId="0" applyFont="1"/>
    <xf numFmtId="165" fontId="0" fillId="8" borderId="1" xfId="0" applyNumberFormat="1" applyFill="1" applyBorder="1" applyAlignment="1">
      <alignment horizontal="center"/>
    </xf>
    <xf numFmtId="164" fontId="0" fillId="0" borderId="0" xfId="0" applyNumberFormat="1"/>
    <xf numFmtId="6" fontId="0" fillId="0" borderId="0" xfId="0" applyNumberFormat="1"/>
    <xf numFmtId="0" fontId="1" fillId="2" borderId="2" xfId="0" applyFont="1" applyFill="1" applyBorder="1" applyAlignment="1">
      <alignment horizontal="center" vertical="center" wrapText="1"/>
    </xf>
    <xf numFmtId="167" fontId="0" fillId="0" borderId="0" xfId="0" applyNumberFormat="1"/>
    <xf numFmtId="165" fontId="0" fillId="0" borderId="0" xfId="0" applyNumberFormat="1"/>
    <xf numFmtId="167" fontId="2" fillId="3" borderId="1" xfId="0" applyNumberFormat="1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167" fontId="2" fillId="9" borderId="1" xfId="0" applyNumberFormat="1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164" fontId="2" fillId="9" borderId="1" xfId="0" applyNumberFormat="1" applyFont="1" applyFill="1" applyBorder="1" applyAlignment="1">
      <alignment horizontal="center" vertical="center"/>
    </xf>
    <xf numFmtId="0" fontId="2" fillId="10" borderId="1" xfId="0" applyFont="1" applyFill="1" applyBorder="1"/>
    <xf numFmtId="167" fontId="0" fillId="11" borderId="0" xfId="0" applyNumberFormat="1" applyFill="1"/>
    <xf numFmtId="6" fontId="0" fillId="11" borderId="0" xfId="0" applyNumberFormat="1" applyFill="1"/>
    <xf numFmtId="165" fontId="0" fillId="11" borderId="0" xfId="0" applyNumberFormat="1" applyFill="1"/>
    <xf numFmtId="166" fontId="0" fillId="11" borderId="0" xfId="0" applyNumberFormat="1" applyFill="1"/>
    <xf numFmtId="0" fontId="2" fillId="10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4" fontId="0" fillId="0" borderId="0" xfId="0" applyNumberFormat="1"/>
    <xf numFmtId="14" fontId="10" fillId="12" borderId="1" xfId="0" applyNumberFormat="1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/>
    </xf>
    <xf numFmtId="0" fontId="10" fillId="12" borderId="1" xfId="0" applyFont="1" applyFill="1" applyBorder="1" applyAlignment="1">
      <alignment horizontal="center" vertical="center"/>
    </xf>
    <xf numFmtId="164" fontId="10" fillId="12" borderId="1" xfId="0" applyNumberFormat="1" applyFont="1" applyFill="1" applyBorder="1" applyAlignment="1">
      <alignment horizontal="center" vertical="center"/>
    </xf>
    <xf numFmtId="14" fontId="10" fillId="3" borderId="1" xfId="0" applyNumberFormat="1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0" fontId="10" fillId="3" borderId="1" xfId="0" applyFont="1" applyFill="1" applyBorder="1" applyAlignment="1">
      <alignment horizontal="center" vertical="center"/>
    </xf>
    <xf numFmtId="164" fontId="10" fillId="3" borderId="1" xfId="0" applyNumberFormat="1" applyFont="1" applyFill="1" applyBorder="1" applyAlignment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165" fontId="0" fillId="9" borderId="1" xfId="0" applyNumberFormat="1" applyFill="1" applyBorder="1"/>
    <xf numFmtId="164" fontId="0" fillId="9" borderId="1" xfId="0" applyNumberFormat="1" applyFill="1" applyBorder="1"/>
    <xf numFmtId="0" fontId="2" fillId="9" borderId="1" xfId="0" applyFont="1" applyFill="1" applyBorder="1"/>
    <xf numFmtId="0" fontId="2" fillId="0" borderId="1" xfId="0" applyFont="1" applyBorder="1"/>
    <xf numFmtId="14" fontId="0" fillId="0" borderId="0" xfId="0" applyNumberFormat="1"/>
    <xf numFmtId="0" fontId="1" fillId="2" borderId="3" xfId="0" applyFont="1" applyFill="1" applyBorder="1" applyAlignment="1">
      <alignment horizontal="center" vertical="center" wrapText="1"/>
    </xf>
    <xf numFmtId="164" fontId="12" fillId="13" borderId="0" xfId="0" applyNumberFormat="1" applyFont="1" applyFill="1"/>
    <xf numFmtId="0" fontId="0" fillId="13" borderId="0" xfId="0" applyFill="1"/>
    <xf numFmtId="167" fontId="13" fillId="5" borderId="0" xfId="0" applyNumberFormat="1" applyFont="1" applyFill="1"/>
    <xf numFmtId="9" fontId="0" fillId="0" borderId="0" xfId="1" applyFont="1"/>
    <xf numFmtId="0" fontId="0" fillId="3" borderId="3" xfId="0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1" fillId="5" borderId="4" xfId="0" applyFont="1" applyFill="1" applyBorder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757575"/>
      <rgbColor rgb="FF9999FF"/>
      <rgbColor rgb="FF993366"/>
      <rgbColor rgb="FFFFF9C4"/>
      <rgbColor rgb="FFE8F5E9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5F5F5"/>
      <rgbColor rgb="FFCCFFCC"/>
      <rgbColor rgb="FFFFF8E1"/>
      <rgbColor rgb="FF99CCFF"/>
      <rgbColor rgb="FFFF99CC"/>
      <rgbColor rgb="FFCC99FF"/>
      <rgbColor rgb="FFFFCC99"/>
      <rgbColor rgb="FF3366FF"/>
      <rgbColor rgb="FF33CCCC"/>
      <rgbColor rgb="FF99CC00"/>
      <rgbColor rgb="FFFFC107"/>
      <rgbColor rgb="FFFF9900"/>
      <rgbColor rgb="FFFF6600"/>
      <rgbColor rgb="FF616161"/>
      <rgbColor rgb="FF969696"/>
      <rgbColor rgb="FF003366"/>
      <rgbColor rgb="FF339966"/>
      <rgbColor rgb="FF003300"/>
      <rgbColor rgb="FF1A1A1A"/>
      <rgbColor rgb="FF993300"/>
      <rgbColor rgb="FF993366"/>
      <rgbColor rgb="FF333399"/>
      <rgbColor rgb="FF42424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N190"/>
  <sheetViews>
    <sheetView tabSelected="1" zoomScale="64" zoomScaleNormal="100" workbookViewId="0">
      <selection activeCell="L64" sqref="L64"/>
    </sheetView>
  </sheetViews>
  <sheetFormatPr baseColWidth="10" defaultColWidth="8.7109375" defaultRowHeight="15" x14ac:dyDescent="0.25"/>
  <cols>
    <col min="1" max="1" width="14" customWidth="1"/>
    <col min="2" max="2" width="42" bestFit="1" customWidth="1"/>
    <col min="3" max="3" width="15.42578125" bestFit="1" customWidth="1"/>
    <col min="4" max="4" width="17.140625" bestFit="1" customWidth="1"/>
    <col min="5" max="5" width="13.5703125" style="33" bestFit="1" customWidth="1"/>
    <col min="6" max="6" width="13" customWidth="1"/>
    <col min="7" max="8" width="20" customWidth="1"/>
    <col min="9" max="9" width="15.42578125" customWidth="1"/>
    <col min="10" max="11" width="15.42578125" bestFit="1" customWidth="1"/>
    <col min="12" max="12" width="8.5703125" bestFit="1" customWidth="1"/>
  </cols>
  <sheetData>
    <row r="1" spans="1:14" ht="5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4</v>
      </c>
      <c r="G1" s="1" t="s">
        <v>5</v>
      </c>
      <c r="H1" s="1" t="s">
        <v>6</v>
      </c>
      <c r="I1" s="61" t="s">
        <v>35</v>
      </c>
      <c r="K1" s="28" t="s">
        <v>2</v>
      </c>
      <c r="L1" s="28" t="s">
        <v>56</v>
      </c>
      <c r="M1" s="28" t="s">
        <v>60</v>
      </c>
      <c r="N1" s="28" t="s">
        <v>61</v>
      </c>
    </row>
    <row r="2" spans="1:14" ht="18.75" customHeight="1" x14ac:dyDescent="0.25">
      <c r="A2" s="2">
        <v>45789</v>
      </c>
      <c r="B2" s="3" t="s">
        <v>8</v>
      </c>
      <c r="C2" s="3" t="s">
        <v>58</v>
      </c>
      <c r="D2" s="3" t="s">
        <v>9</v>
      </c>
      <c r="E2" s="31">
        <f t="shared" ref="E2:E33" si="0">IF($C2="Poulet curry",$L$2,IF($C2="Bowl Yassa",$L$3,IF($C2="Mikate (beignet)",$L$4,IF($C2="Riz blanc",$L$5,IF($C2="Samoussas (x4)",$L$6,IF($C2="Banane plantain",$L$7,IF($C2="Jus gingembre",$L$8,IF($C2="Bissap maison",$L$9,0))))))))</f>
        <v>5.5</v>
      </c>
      <c r="F2" s="4">
        <v>6</v>
      </c>
      <c r="G2" s="5">
        <f t="shared" ref="G2:G33" si="1">IF($C2="Poulet curry",$M$2,IF($C2="Bowl Yassa",$M$3,IF($C2="Mikate (beignet)",$M$4,IF($C2="Riz blanc",$M$5,IF($C2="Samoussas (x4)",$M$6,IF($C2="Banane plantain",$M$7,IF($C2="Jus gingembre",$M$8,IF($C2="Bissap maison",$M$9,0))))))))</f>
        <v>16</v>
      </c>
      <c r="H2" s="5">
        <f>F2*G2</f>
        <v>96</v>
      </c>
      <c r="I2" s="29">
        <f>H2-(E2*F2)</f>
        <v>63</v>
      </c>
      <c r="K2" s="15" t="s">
        <v>58</v>
      </c>
      <c r="L2" s="29">
        <v>5.5</v>
      </c>
      <c r="M2" s="27">
        <v>16</v>
      </c>
      <c r="N2" s="30">
        <f>(M2-L2)/M2</f>
        <v>0.65625</v>
      </c>
    </row>
    <row r="3" spans="1:14" x14ac:dyDescent="0.25">
      <c r="A3" s="6">
        <v>45789</v>
      </c>
      <c r="B3" s="7" t="s">
        <v>8</v>
      </c>
      <c r="C3" s="7" t="s">
        <v>10</v>
      </c>
      <c r="D3" s="7" t="s">
        <v>9</v>
      </c>
      <c r="E3" s="34">
        <f t="shared" si="0"/>
        <v>6</v>
      </c>
      <c r="F3" s="35">
        <v>20</v>
      </c>
      <c r="G3" s="36">
        <f t="shared" si="1"/>
        <v>17</v>
      </c>
      <c r="H3" s="36">
        <f t="shared" ref="H3:H61" si="2">F3*G3</f>
        <v>340</v>
      </c>
      <c r="I3" s="29">
        <f t="shared" ref="I3:I61" si="3">H3-(E3*F3)</f>
        <v>220</v>
      </c>
      <c r="K3" s="37" t="s">
        <v>10</v>
      </c>
      <c r="L3" s="38">
        <v>6</v>
      </c>
      <c r="M3" s="39">
        <v>17</v>
      </c>
      <c r="N3" s="40">
        <f t="shared" ref="N3:N9" si="4">(M3-L3)/M3</f>
        <v>0.6470588235294118</v>
      </c>
    </row>
    <row r="4" spans="1:14" x14ac:dyDescent="0.25">
      <c r="A4" s="2">
        <v>45789</v>
      </c>
      <c r="B4" s="3" t="s">
        <v>8</v>
      </c>
      <c r="C4" s="3" t="s">
        <v>59</v>
      </c>
      <c r="D4" s="3" t="s">
        <v>9</v>
      </c>
      <c r="E4" s="31">
        <f t="shared" si="0"/>
        <v>1.1000000000000001</v>
      </c>
      <c r="F4" s="4">
        <v>11</v>
      </c>
      <c r="G4" s="5">
        <f t="shared" si="1"/>
        <v>3.5</v>
      </c>
      <c r="H4" s="5">
        <f t="shared" si="2"/>
        <v>38.5</v>
      </c>
      <c r="I4" s="29">
        <f t="shared" si="3"/>
        <v>26.4</v>
      </c>
      <c r="K4" s="15" t="s">
        <v>12</v>
      </c>
      <c r="L4" s="29">
        <v>0.9</v>
      </c>
      <c r="M4" s="27">
        <v>3</v>
      </c>
      <c r="N4" s="30">
        <f t="shared" si="4"/>
        <v>0.70000000000000007</v>
      </c>
    </row>
    <row r="5" spans="1:14" x14ac:dyDescent="0.25">
      <c r="A5" s="6">
        <v>45790</v>
      </c>
      <c r="B5" s="7" t="s">
        <v>8</v>
      </c>
      <c r="C5" s="7" t="s">
        <v>58</v>
      </c>
      <c r="D5" s="7" t="s">
        <v>9</v>
      </c>
      <c r="E5" s="34">
        <f t="shared" si="0"/>
        <v>5.5</v>
      </c>
      <c r="F5" s="35">
        <v>32</v>
      </c>
      <c r="G5" s="36">
        <f t="shared" si="1"/>
        <v>16</v>
      </c>
      <c r="H5" s="36">
        <f t="shared" si="2"/>
        <v>512</v>
      </c>
      <c r="I5" s="29">
        <f t="shared" si="3"/>
        <v>336</v>
      </c>
      <c r="K5" s="37" t="s">
        <v>59</v>
      </c>
      <c r="L5" s="38">
        <v>1.1000000000000001</v>
      </c>
      <c r="M5" s="41">
        <v>3.5</v>
      </c>
      <c r="N5" s="40">
        <f t="shared" si="4"/>
        <v>0.68571428571428572</v>
      </c>
    </row>
    <row r="6" spans="1:14" x14ac:dyDescent="0.25">
      <c r="A6" s="2">
        <v>45790</v>
      </c>
      <c r="B6" s="3" t="s">
        <v>8</v>
      </c>
      <c r="C6" s="3" t="s">
        <v>12</v>
      </c>
      <c r="D6" s="3" t="s">
        <v>13</v>
      </c>
      <c r="E6" s="31">
        <f t="shared" si="0"/>
        <v>0.9</v>
      </c>
      <c r="F6" s="4">
        <v>10</v>
      </c>
      <c r="G6" s="5">
        <f t="shared" si="1"/>
        <v>3</v>
      </c>
      <c r="H6" s="5">
        <f t="shared" si="2"/>
        <v>30</v>
      </c>
      <c r="I6" s="29">
        <f t="shared" si="3"/>
        <v>21</v>
      </c>
      <c r="K6" s="15" t="s">
        <v>57</v>
      </c>
      <c r="L6" s="29">
        <v>2</v>
      </c>
      <c r="M6" s="27">
        <v>6</v>
      </c>
      <c r="N6" s="30">
        <f t="shared" si="4"/>
        <v>0.66666666666666663</v>
      </c>
    </row>
    <row r="7" spans="1:14" x14ac:dyDescent="0.25">
      <c r="A7" s="6">
        <v>45790</v>
      </c>
      <c r="B7" s="7" t="s">
        <v>8</v>
      </c>
      <c r="C7" s="7" t="s">
        <v>14</v>
      </c>
      <c r="D7" s="7" t="s">
        <v>15</v>
      </c>
      <c r="E7" s="34">
        <f t="shared" si="0"/>
        <v>1.4</v>
      </c>
      <c r="F7" s="35">
        <v>37</v>
      </c>
      <c r="G7" s="36">
        <f t="shared" si="1"/>
        <v>4.5</v>
      </c>
      <c r="H7" s="36">
        <f t="shared" si="2"/>
        <v>166.5</v>
      </c>
      <c r="I7" s="29">
        <f t="shared" si="3"/>
        <v>114.7</v>
      </c>
      <c r="K7" s="37" t="s">
        <v>14</v>
      </c>
      <c r="L7" s="38">
        <v>1.4</v>
      </c>
      <c r="M7" s="41">
        <v>4.5</v>
      </c>
      <c r="N7" s="40">
        <f t="shared" si="4"/>
        <v>0.68888888888888888</v>
      </c>
    </row>
    <row r="8" spans="1:14" x14ac:dyDescent="0.25">
      <c r="A8" s="2">
        <v>45791</v>
      </c>
      <c r="B8" s="3" t="s">
        <v>11</v>
      </c>
      <c r="C8" s="3" t="s">
        <v>12</v>
      </c>
      <c r="D8" s="3" t="s">
        <v>13</v>
      </c>
      <c r="E8" s="31">
        <f t="shared" si="0"/>
        <v>0.9</v>
      </c>
      <c r="F8" s="4">
        <v>40</v>
      </c>
      <c r="G8" s="5">
        <f t="shared" si="1"/>
        <v>3</v>
      </c>
      <c r="H8" s="5">
        <f t="shared" si="2"/>
        <v>120</v>
      </c>
      <c r="I8" s="29">
        <f t="shared" si="3"/>
        <v>84</v>
      </c>
      <c r="K8" s="15" t="s">
        <v>17</v>
      </c>
      <c r="L8" s="29">
        <v>0.9</v>
      </c>
      <c r="M8" s="27">
        <v>4</v>
      </c>
      <c r="N8" s="30">
        <f t="shared" si="4"/>
        <v>0.77500000000000002</v>
      </c>
    </row>
    <row r="9" spans="1:14" x14ac:dyDescent="0.25">
      <c r="A9" s="6">
        <v>45791</v>
      </c>
      <c r="B9" s="7" t="s">
        <v>11</v>
      </c>
      <c r="C9" s="7" t="s">
        <v>17</v>
      </c>
      <c r="D9" s="7" t="s">
        <v>18</v>
      </c>
      <c r="E9" s="34">
        <f t="shared" si="0"/>
        <v>0.9</v>
      </c>
      <c r="F9" s="35">
        <v>19</v>
      </c>
      <c r="G9" s="36">
        <f t="shared" si="1"/>
        <v>4</v>
      </c>
      <c r="H9" s="36">
        <f t="shared" si="2"/>
        <v>76</v>
      </c>
      <c r="I9" s="29">
        <f t="shared" si="3"/>
        <v>58.9</v>
      </c>
      <c r="K9" s="42" t="s">
        <v>20</v>
      </c>
      <c r="L9" s="38">
        <v>0.8</v>
      </c>
      <c r="M9" s="41">
        <v>4</v>
      </c>
      <c r="N9" s="40">
        <f t="shared" si="4"/>
        <v>0.8</v>
      </c>
    </row>
    <row r="10" spans="1:14" x14ac:dyDescent="0.25">
      <c r="A10" s="2">
        <v>45791</v>
      </c>
      <c r="B10" s="3" t="s">
        <v>11</v>
      </c>
      <c r="C10" s="3" t="s">
        <v>10</v>
      </c>
      <c r="D10" s="3" t="s">
        <v>9</v>
      </c>
      <c r="E10" s="31">
        <f t="shared" si="0"/>
        <v>6</v>
      </c>
      <c r="F10" s="4">
        <v>5</v>
      </c>
      <c r="G10" s="5">
        <f t="shared" si="1"/>
        <v>17</v>
      </c>
      <c r="H10" s="5">
        <f t="shared" si="2"/>
        <v>85</v>
      </c>
      <c r="I10" s="29">
        <f t="shared" si="3"/>
        <v>55</v>
      </c>
    </row>
    <row r="11" spans="1:14" x14ac:dyDescent="0.25">
      <c r="A11" s="6">
        <v>45792</v>
      </c>
      <c r="B11" s="7" t="s">
        <v>11</v>
      </c>
      <c r="C11" s="7" t="s">
        <v>59</v>
      </c>
      <c r="D11" s="7" t="s">
        <v>9</v>
      </c>
      <c r="E11" s="34">
        <f t="shared" si="0"/>
        <v>1.1000000000000001</v>
      </c>
      <c r="F11" s="35">
        <v>32</v>
      </c>
      <c r="G11" s="36">
        <f t="shared" si="1"/>
        <v>3.5</v>
      </c>
      <c r="H11" s="36">
        <f t="shared" si="2"/>
        <v>112</v>
      </c>
      <c r="I11" s="29">
        <f t="shared" si="3"/>
        <v>76.8</v>
      </c>
    </row>
    <row r="12" spans="1:14" x14ac:dyDescent="0.25">
      <c r="A12" s="2">
        <v>45792</v>
      </c>
      <c r="B12" s="3" t="s">
        <v>19</v>
      </c>
      <c r="C12" s="3" t="s">
        <v>10</v>
      </c>
      <c r="D12" s="3" t="s">
        <v>9</v>
      </c>
      <c r="E12" s="31">
        <f t="shared" si="0"/>
        <v>6</v>
      </c>
      <c r="F12" s="4">
        <v>14</v>
      </c>
      <c r="G12" s="5">
        <f t="shared" si="1"/>
        <v>17</v>
      </c>
      <c r="H12" s="5">
        <f t="shared" si="2"/>
        <v>238</v>
      </c>
      <c r="I12" s="29">
        <f t="shared" si="3"/>
        <v>154</v>
      </c>
    </row>
    <row r="13" spans="1:14" x14ac:dyDescent="0.25">
      <c r="A13" s="6">
        <v>45792</v>
      </c>
      <c r="B13" s="7" t="s">
        <v>19</v>
      </c>
      <c r="C13" s="7" t="s">
        <v>20</v>
      </c>
      <c r="D13" s="7" t="s">
        <v>18</v>
      </c>
      <c r="E13" s="34">
        <f t="shared" si="0"/>
        <v>0.8</v>
      </c>
      <c r="F13" s="35">
        <v>11</v>
      </c>
      <c r="G13" s="36">
        <f t="shared" si="1"/>
        <v>4</v>
      </c>
      <c r="H13" s="36">
        <f t="shared" si="2"/>
        <v>44</v>
      </c>
      <c r="I13" s="29">
        <f t="shared" si="3"/>
        <v>35.200000000000003</v>
      </c>
      <c r="K13" s="29"/>
    </row>
    <row r="14" spans="1:14" x14ac:dyDescent="0.25">
      <c r="A14" s="2">
        <v>45793</v>
      </c>
      <c r="B14" s="3" t="s">
        <v>19</v>
      </c>
      <c r="C14" s="3" t="s">
        <v>17</v>
      </c>
      <c r="D14" s="3" t="s">
        <v>18</v>
      </c>
      <c r="E14" s="31">
        <f t="shared" si="0"/>
        <v>0.9</v>
      </c>
      <c r="F14" s="4">
        <v>11</v>
      </c>
      <c r="G14" s="5">
        <f t="shared" si="1"/>
        <v>4</v>
      </c>
      <c r="H14" s="5">
        <f t="shared" si="2"/>
        <v>44</v>
      </c>
      <c r="I14" s="29">
        <f t="shared" si="3"/>
        <v>34.1</v>
      </c>
    </row>
    <row r="15" spans="1:14" x14ac:dyDescent="0.25">
      <c r="A15" s="6">
        <v>45793</v>
      </c>
      <c r="B15" s="7" t="s">
        <v>19</v>
      </c>
      <c r="C15" s="7" t="s">
        <v>20</v>
      </c>
      <c r="D15" s="7" t="s">
        <v>18</v>
      </c>
      <c r="E15" s="34">
        <f t="shared" si="0"/>
        <v>0.8</v>
      </c>
      <c r="F15" s="35">
        <v>21</v>
      </c>
      <c r="G15" s="36">
        <f t="shared" si="1"/>
        <v>4</v>
      </c>
      <c r="H15" s="36">
        <f t="shared" si="2"/>
        <v>84</v>
      </c>
      <c r="I15" s="29">
        <f t="shared" si="3"/>
        <v>67.2</v>
      </c>
    </row>
    <row r="16" spans="1:14" x14ac:dyDescent="0.25">
      <c r="A16" s="2">
        <v>45793</v>
      </c>
      <c r="B16" s="3" t="s">
        <v>19</v>
      </c>
      <c r="C16" s="3" t="s">
        <v>12</v>
      </c>
      <c r="D16" s="3" t="s">
        <v>13</v>
      </c>
      <c r="E16" s="31">
        <f t="shared" si="0"/>
        <v>0.9</v>
      </c>
      <c r="F16" s="4">
        <v>34</v>
      </c>
      <c r="G16" s="5">
        <f t="shared" si="1"/>
        <v>3</v>
      </c>
      <c r="H16" s="5">
        <f t="shared" si="2"/>
        <v>102</v>
      </c>
      <c r="I16" s="29">
        <f t="shared" si="3"/>
        <v>71.400000000000006</v>
      </c>
      <c r="J16" s="46"/>
    </row>
    <row r="17" spans="1:10" x14ac:dyDescent="0.25">
      <c r="A17" s="6">
        <v>45794</v>
      </c>
      <c r="B17" s="7" t="s">
        <v>16</v>
      </c>
      <c r="C17" s="7" t="s">
        <v>58</v>
      </c>
      <c r="D17" s="7" t="s">
        <v>9</v>
      </c>
      <c r="E17" s="34">
        <f t="shared" si="0"/>
        <v>5.5</v>
      </c>
      <c r="F17" s="35">
        <v>29</v>
      </c>
      <c r="G17" s="36">
        <f t="shared" si="1"/>
        <v>16</v>
      </c>
      <c r="H17" s="36">
        <f t="shared" si="2"/>
        <v>464</v>
      </c>
      <c r="I17" s="29">
        <f t="shared" si="3"/>
        <v>304.5</v>
      </c>
    </row>
    <row r="18" spans="1:10" x14ac:dyDescent="0.25">
      <c r="A18" s="2">
        <v>45794</v>
      </c>
      <c r="B18" s="3" t="s">
        <v>16</v>
      </c>
      <c r="C18" s="3" t="s">
        <v>10</v>
      </c>
      <c r="D18" s="3" t="s">
        <v>9</v>
      </c>
      <c r="E18" s="31">
        <f t="shared" si="0"/>
        <v>6</v>
      </c>
      <c r="F18" s="4">
        <v>28</v>
      </c>
      <c r="G18" s="5">
        <f t="shared" si="1"/>
        <v>17</v>
      </c>
      <c r="H18" s="5">
        <f t="shared" si="2"/>
        <v>476</v>
      </c>
      <c r="I18" s="29">
        <f t="shared" si="3"/>
        <v>308</v>
      </c>
    </row>
    <row r="19" spans="1:10" x14ac:dyDescent="0.25">
      <c r="A19" s="6">
        <v>45794</v>
      </c>
      <c r="B19" s="7" t="s">
        <v>16</v>
      </c>
      <c r="C19" s="7" t="s">
        <v>14</v>
      </c>
      <c r="D19" s="7" t="s">
        <v>15</v>
      </c>
      <c r="E19" s="34">
        <f t="shared" si="0"/>
        <v>1.4</v>
      </c>
      <c r="F19" s="35">
        <v>9</v>
      </c>
      <c r="G19" s="36">
        <f t="shared" si="1"/>
        <v>4.5</v>
      </c>
      <c r="H19" s="36">
        <f t="shared" si="2"/>
        <v>40.5</v>
      </c>
      <c r="I19" s="29">
        <f t="shared" si="3"/>
        <v>27.9</v>
      </c>
    </row>
    <row r="20" spans="1:10" x14ac:dyDescent="0.25">
      <c r="A20" s="2">
        <v>45795</v>
      </c>
      <c r="B20" s="3" t="s">
        <v>8</v>
      </c>
      <c r="C20" s="3" t="s">
        <v>14</v>
      </c>
      <c r="D20" s="3" t="s">
        <v>15</v>
      </c>
      <c r="E20" s="31">
        <f t="shared" si="0"/>
        <v>1.4</v>
      </c>
      <c r="F20" s="4">
        <v>23</v>
      </c>
      <c r="G20" s="5">
        <f t="shared" si="1"/>
        <v>4.5</v>
      </c>
      <c r="H20" s="5">
        <f t="shared" si="2"/>
        <v>103.5</v>
      </c>
      <c r="I20" s="29">
        <f t="shared" si="3"/>
        <v>71.300000000000011</v>
      </c>
    </row>
    <row r="21" spans="1:10" x14ac:dyDescent="0.25">
      <c r="A21" s="6">
        <v>45795</v>
      </c>
      <c r="B21" s="7" t="s">
        <v>8</v>
      </c>
      <c r="C21" s="7" t="s">
        <v>14</v>
      </c>
      <c r="D21" s="7" t="s">
        <v>15</v>
      </c>
      <c r="E21" s="34">
        <f t="shared" si="0"/>
        <v>1.4</v>
      </c>
      <c r="F21" s="35">
        <v>11</v>
      </c>
      <c r="G21" s="36">
        <f t="shared" si="1"/>
        <v>4.5</v>
      </c>
      <c r="H21" s="36">
        <f t="shared" si="2"/>
        <v>49.5</v>
      </c>
      <c r="I21" s="29">
        <f t="shared" si="3"/>
        <v>34.1</v>
      </c>
    </row>
    <row r="22" spans="1:10" x14ac:dyDescent="0.25">
      <c r="A22" s="2">
        <v>45795</v>
      </c>
      <c r="B22" s="3" t="s">
        <v>8</v>
      </c>
      <c r="C22" s="3" t="s">
        <v>10</v>
      </c>
      <c r="D22" s="3" t="s">
        <v>9</v>
      </c>
      <c r="E22" s="31">
        <f t="shared" si="0"/>
        <v>6</v>
      </c>
      <c r="F22" s="4">
        <v>34</v>
      </c>
      <c r="G22" s="5">
        <f t="shared" si="1"/>
        <v>17</v>
      </c>
      <c r="H22" s="5">
        <f t="shared" si="2"/>
        <v>578</v>
      </c>
      <c r="I22" s="29">
        <f t="shared" si="3"/>
        <v>374</v>
      </c>
      <c r="J22" s="26"/>
    </row>
    <row r="23" spans="1:10" x14ac:dyDescent="0.25">
      <c r="A23" s="6">
        <v>45796</v>
      </c>
      <c r="B23" s="7" t="s">
        <v>19</v>
      </c>
      <c r="C23" s="7" t="s">
        <v>20</v>
      </c>
      <c r="D23" s="7" t="s">
        <v>18</v>
      </c>
      <c r="E23" s="34">
        <f t="shared" si="0"/>
        <v>0.8</v>
      </c>
      <c r="F23" s="35">
        <v>15</v>
      </c>
      <c r="G23" s="36">
        <f t="shared" si="1"/>
        <v>4</v>
      </c>
      <c r="H23" s="36">
        <f t="shared" si="2"/>
        <v>60</v>
      </c>
      <c r="I23" s="29">
        <f t="shared" si="3"/>
        <v>48</v>
      </c>
    </row>
    <row r="24" spans="1:10" x14ac:dyDescent="0.25">
      <c r="A24" s="2">
        <v>45796</v>
      </c>
      <c r="B24" s="3" t="s">
        <v>19</v>
      </c>
      <c r="C24" s="3" t="s">
        <v>20</v>
      </c>
      <c r="D24" s="3" t="s">
        <v>18</v>
      </c>
      <c r="E24" s="31">
        <f t="shared" si="0"/>
        <v>0.8</v>
      </c>
      <c r="F24" s="4">
        <v>18</v>
      </c>
      <c r="G24" s="5">
        <f t="shared" si="1"/>
        <v>4</v>
      </c>
      <c r="H24" s="5">
        <f t="shared" si="2"/>
        <v>72</v>
      </c>
      <c r="I24" s="29">
        <f t="shared" si="3"/>
        <v>57.6</v>
      </c>
    </row>
    <row r="25" spans="1:10" x14ac:dyDescent="0.25">
      <c r="A25" s="6">
        <v>45796</v>
      </c>
      <c r="B25" s="7" t="s">
        <v>19</v>
      </c>
      <c r="C25" s="7" t="s">
        <v>10</v>
      </c>
      <c r="D25" s="7" t="s">
        <v>9</v>
      </c>
      <c r="E25" s="34">
        <f t="shared" si="0"/>
        <v>6</v>
      </c>
      <c r="F25" s="35">
        <v>9</v>
      </c>
      <c r="G25" s="36">
        <f t="shared" si="1"/>
        <v>17</v>
      </c>
      <c r="H25" s="36">
        <f t="shared" si="2"/>
        <v>153</v>
      </c>
      <c r="I25" s="29">
        <f t="shared" si="3"/>
        <v>99</v>
      </c>
    </row>
    <row r="26" spans="1:10" x14ac:dyDescent="0.25">
      <c r="A26" s="2">
        <v>45797</v>
      </c>
      <c r="B26" s="3" t="s">
        <v>16</v>
      </c>
      <c r="C26" s="3" t="s">
        <v>59</v>
      </c>
      <c r="D26" s="3" t="s">
        <v>9</v>
      </c>
      <c r="E26" s="31">
        <f t="shared" si="0"/>
        <v>1.1000000000000001</v>
      </c>
      <c r="F26" s="4">
        <v>39</v>
      </c>
      <c r="G26" s="5">
        <f t="shared" si="1"/>
        <v>3.5</v>
      </c>
      <c r="H26" s="5">
        <f t="shared" si="2"/>
        <v>136.5</v>
      </c>
      <c r="I26" s="29">
        <f t="shared" si="3"/>
        <v>93.6</v>
      </c>
    </row>
    <row r="27" spans="1:10" x14ac:dyDescent="0.25">
      <c r="A27" s="6">
        <v>45797</v>
      </c>
      <c r="B27" s="7" t="s">
        <v>16</v>
      </c>
      <c r="C27" s="7" t="s">
        <v>14</v>
      </c>
      <c r="D27" s="7" t="s">
        <v>15</v>
      </c>
      <c r="E27" s="34">
        <f t="shared" si="0"/>
        <v>1.4</v>
      </c>
      <c r="F27" s="35">
        <v>15</v>
      </c>
      <c r="G27" s="36">
        <f t="shared" si="1"/>
        <v>4.5</v>
      </c>
      <c r="H27" s="36">
        <f t="shared" si="2"/>
        <v>67.5</v>
      </c>
      <c r="I27" s="29">
        <f t="shared" si="3"/>
        <v>46.5</v>
      </c>
    </row>
    <row r="28" spans="1:10" x14ac:dyDescent="0.25">
      <c r="A28" s="2">
        <v>45797</v>
      </c>
      <c r="B28" s="3" t="s">
        <v>16</v>
      </c>
      <c r="C28" s="3" t="s">
        <v>17</v>
      </c>
      <c r="D28" s="3" t="s">
        <v>18</v>
      </c>
      <c r="E28" s="31">
        <f t="shared" si="0"/>
        <v>0.9</v>
      </c>
      <c r="F28" s="4">
        <v>22</v>
      </c>
      <c r="G28" s="5">
        <f t="shared" si="1"/>
        <v>4</v>
      </c>
      <c r="H28" s="5">
        <f t="shared" si="2"/>
        <v>88</v>
      </c>
      <c r="I28" s="29">
        <f t="shared" si="3"/>
        <v>68.2</v>
      </c>
    </row>
    <row r="29" spans="1:10" x14ac:dyDescent="0.25">
      <c r="A29" s="6">
        <v>45798</v>
      </c>
      <c r="B29" s="7" t="s">
        <v>11</v>
      </c>
      <c r="C29" s="7" t="s">
        <v>14</v>
      </c>
      <c r="D29" s="7" t="s">
        <v>15</v>
      </c>
      <c r="E29" s="34">
        <f t="shared" si="0"/>
        <v>1.4</v>
      </c>
      <c r="F29" s="35">
        <v>25</v>
      </c>
      <c r="G29" s="36">
        <f t="shared" si="1"/>
        <v>4.5</v>
      </c>
      <c r="H29" s="36">
        <f t="shared" si="2"/>
        <v>112.5</v>
      </c>
      <c r="I29" s="29">
        <f t="shared" si="3"/>
        <v>77.5</v>
      </c>
    </row>
    <row r="30" spans="1:10" x14ac:dyDescent="0.25">
      <c r="A30" s="2">
        <v>45798</v>
      </c>
      <c r="B30" s="3" t="s">
        <v>11</v>
      </c>
      <c r="C30" s="3" t="s">
        <v>12</v>
      </c>
      <c r="D30" s="3" t="s">
        <v>13</v>
      </c>
      <c r="E30" s="31">
        <f t="shared" si="0"/>
        <v>0.9</v>
      </c>
      <c r="F30" s="4">
        <v>19</v>
      </c>
      <c r="G30" s="5">
        <f t="shared" si="1"/>
        <v>3</v>
      </c>
      <c r="H30" s="5">
        <f t="shared" si="2"/>
        <v>57</v>
      </c>
      <c r="I30" s="29">
        <f t="shared" si="3"/>
        <v>39.9</v>
      </c>
    </row>
    <row r="31" spans="1:10" x14ac:dyDescent="0.25">
      <c r="A31" s="6">
        <v>45798</v>
      </c>
      <c r="B31" s="7" t="s">
        <v>11</v>
      </c>
      <c r="C31" s="7" t="s">
        <v>12</v>
      </c>
      <c r="D31" s="7" t="s">
        <v>13</v>
      </c>
      <c r="E31" s="34">
        <f t="shared" si="0"/>
        <v>0.9</v>
      </c>
      <c r="F31" s="35">
        <v>25</v>
      </c>
      <c r="G31" s="36">
        <f t="shared" si="1"/>
        <v>3</v>
      </c>
      <c r="H31" s="36">
        <f t="shared" si="2"/>
        <v>75</v>
      </c>
      <c r="I31" s="29">
        <f t="shared" si="3"/>
        <v>52.5</v>
      </c>
    </row>
    <row r="32" spans="1:10" x14ac:dyDescent="0.25">
      <c r="A32" s="2">
        <v>45799</v>
      </c>
      <c r="B32" s="3" t="s">
        <v>8</v>
      </c>
      <c r="C32" s="3" t="s">
        <v>10</v>
      </c>
      <c r="D32" s="3" t="s">
        <v>9</v>
      </c>
      <c r="E32" s="31">
        <f t="shared" si="0"/>
        <v>6</v>
      </c>
      <c r="F32" s="4">
        <v>9</v>
      </c>
      <c r="G32" s="5">
        <f t="shared" si="1"/>
        <v>17</v>
      </c>
      <c r="H32" s="5">
        <f t="shared" si="2"/>
        <v>153</v>
      </c>
      <c r="I32" s="29">
        <f t="shared" si="3"/>
        <v>99</v>
      </c>
    </row>
    <row r="33" spans="1:9" x14ac:dyDescent="0.25">
      <c r="A33" s="6">
        <v>45799</v>
      </c>
      <c r="B33" s="7" t="s">
        <v>8</v>
      </c>
      <c r="C33" s="7" t="s">
        <v>20</v>
      </c>
      <c r="D33" s="7" t="s">
        <v>18</v>
      </c>
      <c r="E33" s="34">
        <f t="shared" si="0"/>
        <v>0.8</v>
      </c>
      <c r="F33" s="35">
        <v>18</v>
      </c>
      <c r="G33" s="36">
        <f t="shared" si="1"/>
        <v>4</v>
      </c>
      <c r="H33" s="36">
        <f t="shared" si="2"/>
        <v>72</v>
      </c>
      <c r="I33" s="29">
        <f t="shared" si="3"/>
        <v>57.6</v>
      </c>
    </row>
    <row r="34" spans="1:9" x14ac:dyDescent="0.25">
      <c r="A34" s="2">
        <v>45799</v>
      </c>
      <c r="B34" s="3" t="s">
        <v>8</v>
      </c>
      <c r="C34" s="3" t="s">
        <v>57</v>
      </c>
      <c r="D34" s="3" t="s">
        <v>13</v>
      </c>
      <c r="E34" s="31">
        <f t="shared" ref="E34:E61" si="5">IF($C34="Poulet curry",$L$2,IF($C34="Bowl Yassa",$L$3,IF($C34="Mikate (beignet)",$L$4,IF($C34="Riz blanc",$L$5,IF($C34="Samoussas (x4)",$L$6,IF($C34="Banane plantain",$L$7,IF($C34="Jus gingembre",$L$8,IF($C34="Bissap maison",$L$9,0))))))))</f>
        <v>2</v>
      </c>
      <c r="F34" s="4">
        <v>30</v>
      </c>
      <c r="G34" s="5">
        <f t="shared" ref="G34:G61" si="6">IF($C34="Poulet curry",$M$2,IF($C34="Bowl Yassa",$M$3,IF($C34="Mikate (beignet)",$M$4,IF($C34="Riz blanc",$M$5,IF($C34="Samoussas (x4)",$M$6,IF($C34="Banane plantain",$M$7,IF($C34="Jus gingembre",$M$8,IF($C34="Bissap maison",$M$9,0))))))))</f>
        <v>6</v>
      </c>
      <c r="H34" s="5">
        <f t="shared" si="2"/>
        <v>180</v>
      </c>
      <c r="I34" s="29">
        <f t="shared" si="3"/>
        <v>120</v>
      </c>
    </row>
    <row r="35" spans="1:9" x14ac:dyDescent="0.25">
      <c r="A35" s="6">
        <v>45800</v>
      </c>
      <c r="B35" s="7" t="s">
        <v>19</v>
      </c>
      <c r="C35" s="7" t="s">
        <v>57</v>
      </c>
      <c r="D35" s="7" t="s">
        <v>13</v>
      </c>
      <c r="E35" s="34">
        <f t="shared" si="5"/>
        <v>2</v>
      </c>
      <c r="F35" s="35">
        <v>14</v>
      </c>
      <c r="G35" s="36">
        <f t="shared" si="6"/>
        <v>6</v>
      </c>
      <c r="H35" s="36">
        <f t="shared" si="2"/>
        <v>84</v>
      </c>
      <c r="I35" s="29">
        <f t="shared" si="3"/>
        <v>56</v>
      </c>
    </row>
    <row r="36" spans="1:9" x14ac:dyDescent="0.25">
      <c r="A36" s="2">
        <v>45800</v>
      </c>
      <c r="B36" s="3" t="s">
        <v>19</v>
      </c>
      <c r="C36" s="3" t="s">
        <v>59</v>
      </c>
      <c r="D36" s="3" t="s">
        <v>9</v>
      </c>
      <c r="E36" s="31">
        <f t="shared" si="5"/>
        <v>1.1000000000000001</v>
      </c>
      <c r="F36" s="4">
        <v>20</v>
      </c>
      <c r="G36" s="5">
        <f t="shared" si="6"/>
        <v>3.5</v>
      </c>
      <c r="H36" s="5">
        <f t="shared" si="2"/>
        <v>70</v>
      </c>
      <c r="I36" s="29">
        <f t="shared" si="3"/>
        <v>48</v>
      </c>
    </row>
    <row r="37" spans="1:9" x14ac:dyDescent="0.25">
      <c r="A37" s="6">
        <v>45800</v>
      </c>
      <c r="B37" s="7" t="s">
        <v>19</v>
      </c>
      <c r="C37" s="7" t="s">
        <v>10</v>
      </c>
      <c r="D37" s="7" t="s">
        <v>9</v>
      </c>
      <c r="E37" s="34">
        <f t="shared" si="5"/>
        <v>6</v>
      </c>
      <c r="F37" s="35">
        <v>32</v>
      </c>
      <c r="G37" s="36">
        <f t="shared" si="6"/>
        <v>17</v>
      </c>
      <c r="H37" s="36">
        <f t="shared" si="2"/>
        <v>544</v>
      </c>
      <c r="I37" s="29">
        <f t="shared" si="3"/>
        <v>352</v>
      </c>
    </row>
    <row r="38" spans="1:9" x14ac:dyDescent="0.25">
      <c r="A38" s="2">
        <v>45801</v>
      </c>
      <c r="B38" s="3" t="s">
        <v>16</v>
      </c>
      <c r="C38" s="3" t="s">
        <v>17</v>
      </c>
      <c r="D38" s="3" t="s">
        <v>18</v>
      </c>
      <c r="E38" s="31">
        <f t="shared" si="5"/>
        <v>0.9</v>
      </c>
      <c r="F38" s="4">
        <v>28</v>
      </c>
      <c r="G38" s="5">
        <f t="shared" si="6"/>
        <v>4</v>
      </c>
      <c r="H38" s="5">
        <f t="shared" si="2"/>
        <v>112</v>
      </c>
      <c r="I38" s="29">
        <f t="shared" si="3"/>
        <v>86.8</v>
      </c>
    </row>
    <row r="39" spans="1:9" x14ac:dyDescent="0.25">
      <c r="A39" s="6">
        <v>45801</v>
      </c>
      <c r="B39" s="7" t="s">
        <v>16</v>
      </c>
      <c r="C39" s="7" t="s">
        <v>59</v>
      </c>
      <c r="D39" s="7" t="s">
        <v>9</v>
      </c>
      <c r="E39" s="34">
        <f t="shared" si="5"/>
        <v>1.1000000000000001</v>
      </c>
      <c r="F39" s="35">
        <v>37</v>
      </c>
      <c r="G39" s="36">
        <f t="shared" si="6"/>
        <v>3.5</v>
      </c>
      <c r="H39" s="36">
        <f t="shared" si="2"/>
        <v>129.5</v>
      </c>
      <c r="I39" s="29">
        <f t="shared" si="3"/>
        <v>88.8</v>
      </c>
    </row>
    <row r="40" spans="1:9" x14ac:dyDescent="0.25">
      <c r="A40" s="2">
        <v>45801</v>
      </c>
      <c r="B40" s="3" t="s">
        <v>16</v>
      </c>
      <c r="C40" s="3" t="s">
        <v>58</v>
      </c>
      <c r="D40" s="3" t="s">
        <v>9</v>
      </c>
      <c r="E40" s="31">
        <f t="shared" si="5"/>
        <v>5.5</v>
      </c>
      <c r="F40" s="4">
        <v>8</v>
      </c>
      <c r="G40" s="5">
        <f t="shared" si="6"/>
        <v>16</v>
      </c>
      <c r="H40" s="5">
        <f t="shared" si="2"/>
        <v>128</v>
      </c>
      <c r="I40" s="29">
        <f t="shared" si="3"/>
        <v>84</v>
      </c>
    </row>
    <row r="41" spans="1:9" x14ac:dyDescent="0.25">
      <c r="A41" s="6">
        <v>45802</v>
      </c>
      <c r="B41" s="7" t="s">
        <v>11</v>
      </c>
      <c r="C41" s="7" t="s">
        <v>58</v>
      </c>
      <c r="D41" s="7" t="s">
        <v>9</v>
      </c>
      <c r="E41" s="34">
        <f t="shared" si="5"/>
        <v>5.5</v>
      </c>
      <c r="F41" s="35">
        <v>14</v>
      </c>
      <c r="G41" s="36">
        <f t="shared" si="6"/>
        <v>16</v>
      </c>
      <c r="H41" s="36">
        <f t="shared" si="2"/>
        <v>224</v>
      </c>
      <c r="I41" s="29">
        <f t="shared" si="3"/>
        <v>147</v>
      </c>
    </row>
    <row r="42" spans="1:9" x14ac:dyDescent="0.25">
      <c r="A42" s="2">
        <v>45802</v>
      </c>
      <c r="B42" s="3" t="s">
        <v>11</v>
      </c>
      <c r="C42" s="3" t="s">
        <v>59</v>
      </c>
      <c r="D42" s="3" t="s">
        <v>9</v>
      </c>
      <c r="E42" s="31">
        <f t="shared" si="5"/>
        <v>1.1000000000000001</v>
      </c>
      <c r="F42" s="4">
        <v>32</v>
      </c>
      <c r="G42" s="5">
        <f t="shared" si="6"/>
        <v>3.5</v>
      </c>
      <c r="H42" s="5">
        <f t="shared" si="2"/>
        <v>112</v>
      </c>
      <c r="I42" s="29">
        <f t="shared" si="3"/>
        <v>76.8</v>
      </c>
    </row>
    <row r="43" spans="1:9" x14ac:dyDescent="0.25">
      <c r="A43" s="6">
        <v>45802</v>
      </c>
      <c r="B43" s="7" t="s">
        <v>11</v>
      </c>
      <c r="C43" s="7" t="s">
        <v>58</v>
      </c>
      <c r="D43" s="7" t="s">
        <v>9</v>
      </c>
      <c r="E43" s="34">
        <f t="shared" si="5"/>
        <v>5.5</v>
      </c>
      <c r="F43" s="35">
        <v>29</v>
      </c>
      <c r="G43" s="36">
        <f t="shared" si="6"/>
        <v>16</v>
      </c>
      <c r="H43" s="36">
        <f t="shared" si="2"/>
        <v>464</v>
      </c>
      <c r="I43" s="29">
        <f t="shared" si="3"/>
        <v>304.5</v>
      </c>
    </row>
    <row r="44" spans="1:9" x14ac:dyDescent="0.25">
      <c r="A44" s="2">
        <v>45803</v>
      </c>
      <c r="B44" s="3" t="s">
        <v>19</v>
      </c>
      <c r="C44" s="3" t="s">
        <v>57</v>
      </c>
      <c r="D44" s="3" t="s">
        <v>13</v>
      </c>
      <c r="E44" s="31">
        <f t="shared" si="5"/>
        <v>2</v>
      </c>
      <c r="F44" s="4">
        <v>38</v>
      </c>
      <c r="G44" s="5">
        <f t="shared" si="6"/>
        <v>6</v>
      </c>
      <c r="H44" s="5">
        <f t="shared" si="2"/>
        <v>228</v>
      </c>
      <c r="I44" s="29">
        <f t="shared" si="3"/>
        <v>152</v>
      </c>
    </row>
    <row r="45" spans="1:9" x14ac:dyDescent="0.25">
      <c r="A45" s="6">
        <v>45803</v>
      </c>
      <c r="B45" s="7" t="s">
        <v>19</v>
      </c>
      <c r="C45" s="7" t="s">
        <v>12</v>
      </c>
      <c r="D45" s="7" t="s">
        <v>13</v>
      </c>
      <c r="E45" s="34">
        <f t="shared" si="5"/>
        <v>0.9</v>
      </c>
      <c r="F45" s="35">
        <v>12</v>
      </c>
      <c r="G45" s="36">
        <f t="shared" si="6"/>
        <v>3</v>
      </c>
      <c r="H45" s="36">
        <f t="shared" si="2"/>
        <v>36</v>
      </c>
      <c r="I45" s="29">
        <f t="shared" si="3"/>
        <v>25.2</v>
      </c>
    </row>
    <row r="46" spans="1:9" x14ac:dyDescent="0.25">
      <c r="A46" s="2">
        <v>45803</v>
      </c>
      <c r="B46" s="3" t="s">
        <v>19</v>
      </c>
      <c r="C46" s="3" t="s">
        <v>10</v>
      </c>
      <c r="D46" s="3" t="s">
        <v>9</v>
      </c>
      <c r="E46" s="31">
        <f t="shared" si="5"/>
        <v>6</v>
      </c>
      <c r="F46" s="4">
        <v>26</v>
      </c>
      <c r="G46" s="5">
        <f t="shared" si="6"/>
        <v>17</v>
      </c>
      <c r="H46" s="5">
        <f t="shared" si="2"/>
        <v>442</v>
      </c>
      <c r="I46" s="29">
        <f t="shared" si="3"/>
        <v>286</v>
      </c>
    </row>
    <row r="47" spans="1:9" x14ac:dyDescent="0.25">
      <c r="A47" s="6">
        <v>45804</v>
      </c>
      <c r="B47" s="7" t="s">
        <v>19</v>
      </c>
      <c r="C47" s="7" t="s">
        <v>10</v>
      </c>
      <c r="D47" s="7" t="s">
        <v>9</v>
      </c>
      <c r="E47" s="34">
        <f t="shared" si="5"/>
        <v>6</v>
      </c>
      <c r="F47" s="35">
        <v>32</v>
      </c>
      <c r="G47" s="36">
        <f t="shared" si="6"/>
        <v>17</v>
      </c>
      <c r="H47" s="36">
        <f t="shared" si="2"/>
        <v>544</v>
      </c>
      <c r="I47" s="29">
        <f t="shared" si="3"/>
        <v>352</v>
      </c>
    </row>
    <row r="48" spans="1:9" x14ac:dyDescent="0.25">
      <c r="A48" s="2">
        <v>45804</v>
      </c>
      <c r="B48" s="3" t="s">
        <v>19</v>
      </c>
      <c r="C48" s="3" t="s">
        <v>57</v>
      </c>
      <c r="D48" s="3" t="s">
        <v>13</v>
      </c>
      <c r="E48" s="31">
        <f t="shared" si="5"/>
        <v>2</v>
      </c>
      <c r="F48" s="4">
        <v>5</v>
      </c>
      <c r="G48" s="5">
        <f t="shared" si="6"/>
        <v>6</v>
      </c>
      <c r="H48" s="5">
        <f t="shared" si="2"/>
        <v>30</v>
      </c>
      <c r="I48" s="29">
        <f t="shared" si="3"/>
        <v>20</v>
      </c>
    </row>
    <row r="49" spans="1:9" x14ac:dyDescent="0.25">
      <c r="A49" s="6">
        <v>45804</v>
      </c>
      <c r="B49" s="7" t="s">
        <v>19</v>
      </c>
      <c r="C49" s="7" t="s">
        <v>10</v>
      </c>
      <c r="D49" s="7" t="s">
        <v>9</v>
      </c>
      <c r="E49" s="34">
        <f t="shared" si="5"/>
        <v>6</v>
      </c>
      <c r="F49" s="35">
        <v>37</v>
      </c>
      <c r="G49" s="36">
        <f t="shared" si="6"/>
        <v>17</v>
      </c>
      <c r="H49" s="36">
        <f t="shared" si="2"/>
        <v>629</v>
      </c>
      <c r="I49" s="29">
        <f t="shared" si="3"/>
        <v>407</v>
      </c>
    </row>
    <row r="50" spans="1:9" x14ac:dyDescent="0.25">
      <c r="A50" s="2">
        <v>45805</v>
      </c>
      <c r="B50" s="3" t="s">
        <v>16</v>
      </c>
      <c r="C50" s="3" t="s">
        <v>59</v>
      </c>
      <c r="D50" s="3" t="s">
        <v>9</v>
      </c>
      <c r="E50" s="31">
        <f t="shared" si="5"/>
        <v>1.1000000000000001</v>
      </c>
      <c r="F50" s="4">
        <v>37</v>
      </c>
      <c r="G50" s="5">
        <f t="shared" si="6"/>
        <v>3.5</v>
      </c>
      <c r="H50" s="5">
        <f t="shared" si="2"/>
        <v>129.5</v>
      </c>
      <c r="I50" s="29">
        <f t="shared" si="3"/>
        <v>88.8</v>
      </c>
    </row>
    <row r="51" spans="1:9" x14ac:dyDescent="0.25">
      <c r="A51" s="6">
        <v>45805</v>
      </c>
      <c r="B51" s="7" t="s">
        <v>16</v>
      </c>
      <c r="C51" s="7" t="s">
        <v>10</v>
      </c>
      <c r="D51" s="7" t="s">
        <v>9</v>
      </c>
      <c r="E51" s="34">
        <f t="shared" si="5"/>
        <v>6</v>
      </c>
      <c r="F51" s="35">
        <v>37</v>
      </c>
      <c r="G51" s="36">
        <f t="shared" si="6"/>
        <v>17</v>
      </c>
      <c r="H51" s="36">
        <f t="shared" si="2"/>
        <v>629</v>
      </c>
      <c r="I51" s="29">
        <f t="shared" si="3"/>
        <v>407</v>
      </c>
    </row>
    <row r="52" spans="1:9" x14ac:dyDescent="0.25">
      <c r="A52" s="2">
        <v>45805</v>
      </c>
      <c r="B52" s="3" t="s">
        <v>16</v>
      </c>
      <c r="C52" s="3" t="s">
        <v>14</v>
      </c>
      <c r="D52" s="3" t="s">
        <v>15</v>
      </c>
      <c r="E52" s="31">
        <f t="shared" si="5"/>
        <v>1.4</v>
      </c>
      <c r="F52" s="4">
        <v>14</v>
      </c>
      <c r="G52" s="5">
        <f t="shared" si="6"/>
        <v>4.5</v>
      </c>
      <c r="H52" s="5">
        <f t="shared" si="2"/>
        <v>63</v>
      </c>
      <c r="I52" s="29">
        <f t="shared" si="3"/>
        <v>43.400000000000006</v>
      </c>
    </row>
    <row r="53" spans="1:9" x14ac:dyDescent="0.25">
      <c r="A53" s="6">
        <v>45806</v>
      </c>
      <c r="B53" s="7" t="s">
        <v>11</v>
      </c>
      <c r="C53" s="7" t="s">
        <v>59</v>
      </c>
      <c r="D53" s="7" t="s">
        <v>9</v>
      </c>
      <c r="E53" s="34">
        <f t="shared" si="5"/>
        <v>1.1000000000000001</v>
      </c>
      <c r="F53" s="35">
        <v>39</v>
      </c>
      <c r="G53" s="36">
        <f t="shared" si="6"/>
        <v>3.5</v>
      </c>
      <c r="H53" s="36">
        <f t="shared" si="2"/>
        <v>136.5</v>
      </c>
      <c r="I53" s="29">
        <f t="shared" si="3"/>
        <v>93.6</v>
      </c>
    </row>
    <row r="54" spans="1:9" x14ac:dyDescent="0.25">
      <c r="A54" s="2">
        <v>45806</v>
      </c>
      <c r="B54" s="3" t="s">
        <v>11</v>
      </c>
      <c r="C54" s="3" t="s">
        <v>12</v>
      </c>
      <c r="D54" s="3" t="s">
        <v>13</v>
      </c>
      <c r="E54" s="31">
        <f t="shared" si="5"/>
        <v>0.9</v>
      </c>
      <c r="F54" s="4">
        <v>25</v>
      </c>
      <c r="G54" s="5">
        <f t="shared" si="6"/>
        <v>3</v>
      </c>
      <c r="H54" s="5">
        <f t="shared" si="2"/>
        <v>75</v>
      </c>
      <c r="I54" s="29">
        <f t="shared" si="3"/>
        <v>52.5</v>
      </c>
    </row>
    <row r="55" spans="1:9" x14ac:dyDescent="0.25">
      <c r="A55" s="6">
        <v>45806</v>
      </c>
      <c r="B55" s="7" t="s">
        <v>11</v>
      </c>
      <c r="C55" s="7" t="s">
        <v>12</v>
      </c>
      <c r="D55" s="7" t="s">
        <v>13</v>
      </c>
      <c r="E55" s="34">
        <f t="shared" si="5"/>
        <v>0.9</v>
      </c>
      <c r="F55" s="35">
        <v>12</v>
      </c>
      <c r="G55" s="36">
        <f t="shared" si="6"/>
        <v>3</v>
      </c>
      <c r="H55" s="36">
        <f t="shared" si="2"/>
        <v>36</v>
      </c>
      <c r="I55" s="29">
        <f t="shared" si="3"/>
        <v>25.2</v>
      </c>
    </row>
    <row r="56" spans="1:9" x14ac:dyDescent="0.25">
      <c r="A56" s="2">
        <v>45807</v>
      </c>
      <c r="B56" s="3" t="s">
        <v>8</v>
      </c>
      <c r="C56" s="3" t="s">
        <v>10</v>
      </c>
      <c r="D56" s="3" t="s">
        <v>9</v>
      </c>
      <c r="E56" s="31">
        <f t="shared" si="5"/>
        <v>6</v>
      </c>
      <c r="F56" s="4">
        <v>20</v>
      </c>
      <c r="G56" s="5">
        <f t="shared" si="6"/>
        <v>17</v>
      </c>
      <c r="H56" s="5">
        <f t="shared" si="2"/>
        <v>340</v>
      </c>
      <c r="I56" s="29">
        <f t="shared" si="3"/>
        <v>220</v>
      </c>
    </row>
    <row r="57" spans="1:9" x14ac:dyDescent="0.25">
      <c r="A57" s="6">
        <v>45807</v>
      </c>
      <c r="B57" s="7" t="s">
        <v>8</v>
      </c>
      <c r="C57" s="7" t="s">
        <v>14</v>
      </c>
      <c r="D57" s="7" t="s">
        <v>15</v>
      </c>
      <c r="E57" s="34">
        <f t="shared" si="5"/>
        <v>1.4</v>
      </c>
      <c r="F57" s="35">
        <v>10</v>
      </c>
      <c r="G57" s="36">
        <f t="shared" si="6"/>
        <v>4.5</v>
      </c>
      <c r="H57" s="36">
        <f t="shared" si="2"/>
        <v>45</v>
      </c>
      <c r="I57" s="29">
        <f t="shared" si="3"/>
        <v>31</v>
      </c>
    </row>
    <row r="58" spans="1:9" x14ac:dyDescent="0.25">
      <c r="A58" s="2">
        <v>45807</v>
      </c>
      <c r="B58" s="3" t="s">
        <v>8</v>
      </c>
      <c r="C58" s="3" t="s">
        <v>57</v>
      </c>
      <c r="D58" s="3" t="s">
        <v>13</v>
      </c>
      <c r="E58" s="31">
        <f t="shared" si="5"/>
        <v>2</v>
      </c>
      <c r="F58" s="4">
        <v>9</v>
      </c>
      <c r="G58" s="5">
        <f t="shared" si="6"/>
        <v>6</v>
      </c>
      <c r="H58" s="5">
        <f t="shared" si="2"/>
        <v>54</v>
      </c>
      <c r="I58" s="29">
        <f t="shared" si="3"/>
        <v>36</v>
      </c>
    </row>
    <row r="59" spans="1:9" x14ac:dyDescent="0.25">
      <c r="A59" s="6">
        <v>45808</v>
      </c>
      <c r="B59" s="3" t="s">
        <v>8</v>
      </c>
      <c r="C59" s="7" t="s">
        <v>59</v>
      </c>
      <c r="D59" s="7" t="s">
        <v>9</v>
      </c>
      <c r="E59" s="34">
        <f t="shared" si="5"/>
        <v>1.1000000000000001</v>
      </c>
      <c r="F59" s="35">
        <v>13</v>
      </c>
      <c r="G59" s="36">
        <f t="shared" si="6"/>
        <v>3.5</v>
      </c>
      <c r="H59" s="36">
        <f t="shared" si="2"/>
        <v>45.5</v>
      </c>
      <c r="I59" s="29">
        <f t="shared" si="3"/>
        <v>31.2</v>
      </c>
    </row>
    <row r="60" spans="1:9" x14ac:dyDescent="0.25">
      <c r="A60" s="2">
        <v>45808</v>
      </c>
      <c r="B60" s="3" t="s">
        <v>11</v>
      </c>
      <c r="C60" s="3" t="s">
        <v>57</v>
      </c>
      <c r="D60" s="3" t="s">
        <v>13</v>
      </c>
      <c r="E60" s="31">
        <f t="shared" si="5"/>
        <v>2</v>
      </c>
      <c r="F60" s="4">
        <v>40</v>
      </c>
      <c r="G60" s="5">
        <f t="shared" si="6"/>
        <v>6</v>
      </c>
      <c r="H60" s="5">
        <f t="shared" si="2"/>
        <v>240</v>
      </c>
      <c r="I60" s="29">
        <f t="shared" si="3"/>
        <v>160</v>
      </c>
    </row>
    <row r="61" spans="1:9" x14ac:dyDescent="0.25">
      <c r="A61" s="6">
        <v>45808</v>
      </c>
      <c r="B61" s="7" t="s">
        <v>11</v>
      </c>
      <c r="C61" s="7" t="s">
        <v>10</v>
      </c>
      <c r="D61" s="7" t="s">
        <v>9</v>
      </c>
      <c r="E61" s="34">
        <f t="shared" si="5"/>
        <v>6</v>
      </c>
      <c r="F61" s="35">
        <v>38</v>
      </c>
      <c r="G61" s="36">
        <f t="shared" si="6"/>
        <v>17</v>
      </c>
      <c r="H61" s="36">
        <f t="shared" si="2"/>
        <v>646</v>
      </c>
      <c r="I61" s="29">
        <f t="shared" si="3"/>
        <v>418</v>
      </c>
    </row>
    <row r="62" spans="1:9" x14ac:dyDescent="0.25">
      <c r="A62" s="47">
        <v>45810</v>
      </c>
      <c r="B62" s="48" t="s">
        <v>8</v>
      </c>
      <c r="C62" s="48" t="s">
        <v>58</v>
      </c>
      <c r="D62" s="49" t="s">
        <v>9</v>
      </c>
      <c r="E62" s="50">
        <f t="shared" ref="E62:E93" si="7">IF($C62="Poulet curry",$L$2,IF($C62="Bowl Yassa",$L$3,IF($C62="Mikate (beignet)",$L$4,IF($C62="Riz blanc",$L$5,IF($C62="Samoussas (x4)",$L$6,IF($C62="Banane plantain",$L$7,IF($C62="Jus gingembre",$L$8,IF($C62="Bissap maison",$L$9,0))))))))</f>
        <v>5.5</v>
      </c>
      <c r="F62" s="49">
        <v>28</v>
      </c>
      <c r="G62" s="50">
        <f t="shared" ref="G62:G93" si="8">IF($C62="Poulet curry",$M$2,IF($C62="Bowl Yassa",$M$3,IF($C62="Mikate (beignet)",$M$4,IF($C62="Riz blanc",$M$5,IF($C62="Samoussas (x4)",$M$6,IF($C62="Banane plantain",$M$7,IF($C62="Jus gingembre",$M$8,IF($C62="Bissap maison",$M$9,0))))))))</f>
        <v>16</v>
      </c>
      <c r="H62" s="50">
        <f t="shared" ref="H62:H125" si="9">F62*G62</f>
        <v>448</v>
      </c>
      <c r="I62" s="29">
        <f>H62-(E62*F62)</f>
        <v>294</v>
      </c>
    </row>
    <row r="63" spans="1:9" x14ac:dyDescent="0.25">
      <c r="A63" s="51">
        <v>45810</v>
      </c>
      <c r="B63" s="52" t="s">
        <v>8</v>
      </c>
      <c r="C63" s="52" t="s">
        <v>10</v>
      </c>
      <c r="D63" s="53" t="s">
        <v>9</v>
      </c>
      <c r="E63" s="55">
        <f t="shared" si="7"/>
        <v>6</v>
      </c>
      <c r="F63" s="53">
        <v>22</v>
      </c>
      <c r="G63" s="55">
        <f t="shared" si="8"/>
        <v>17</v>
      </c>
      <c r="H63" s="54">
        <f t="shared" si="9"/>
        <v>374</v>
      </c>
      <c r="I63" s="29">
        <f t="shared" ref="I63:I124" si="10">H63-(E63*F63)</f>
        <v>242</v>
      </c>
    </row>
    <row r="64" spans="1:9" x14ac:dyDescent="0.25">
      <c r="A64" s="47">
        <v>45810</v>
      </c>
      <c r="B64" s="48" t="s">
        <v>8</v>
      </c>
      <c r="C64" s="48" t="s">
        <v>12</v>
      </c>
      <c r="D64" s="49" t="s">
        <v>13</v>
      </c>
      <c r="E64" s="50">
        <f t="shared" si="7"/>
        <v>0.9</v>
      </c>
      <c r="F64" s="49">
        <v>45</v>
      </c>
      <c r="G64" s="50">
        <f t="shared" si="8"/>
        <v>3</v>
      </c>
      <c r="H64" s="50">
        <f t="shared" si="9"/>
        <v>135</v>
      </c>
      <c r="I64" s="29">
        <f t="shared" si="10"/>
        <v>94.5</v>
      </c>
    </row>
    <row r="65" spans="1:9" x14ac:dyDescent="0.25">
      <c r="A65" s="51">
        <v>45810</v>
      </c>
      <c r="B65" s="52" t="s">
        <v>8</v>
      </c>
      <c r="C65" s="52" t="s">
        <v>20</v>
      </c>
      <c r="D65" s="53" t="s">
        <v>18</v>
      </c>
      <c r="E65" s="55">
        <f t="shared" si="7"/>
        <v>0.8</v>
      </c>
      <c r="F65" s="53">
        <v>30</v>
      </c>
      <c r="G65" s="55">
        <f t="shared" si="8"/>
        <v>4</v>
      </c>
      <c r="H65" s="54">
        <f t="shared" si="9"/>
        <v>120</v>
      </c>
      <c r="I65" s="29">
        <f t="shared" si="10"/>
        <v>96</v>
      </c>
    </row>
    <row r="66" spans="1:9" x14ac:dyDescent="0.25">
      <c r="A66" s="47">
        <v>45811</v>
      </c>
      <c r="B66" s="48" t="s">
        <v>8</v>
      </c>
      <c r="C66" s="48" t="s">
        <v>58</v>
      </c>
      <c r="D66" s="49" t="s">
        <v>9</v>
      </c>
      <c r="E66" s="50">
        <f t="shared" si="7"/>
        <v>5.5</v>
      </c>
      <c r="F66" s="49">
        <v>31</v>
      </c>
      <c r="G66" s="50">
        <f t="shared" si="8"/>
        <v>16</v>
      </c>
      <c r="H66" s="50">
        <f t="shared" si="9"/>
        <v>496</v>
      </c>
      <c r="I66" s="29">
        <f t="shared" si="10"/>
        <v>325.5</v>
      </c>
    </row>
    <row r="67" spans="1:9" x14ac:dyDescent="0.25">
      <c r="A67" s="51">
        <v>45811</v>
      </c>
      <c r="B67" s="52" t="s">
        <v>8</v>
      </c>
      <c r="C67" s="52" t="s">
        <v>59</v>
      </c>
      <c r="D67" s="53" t="s">
        <v>9</v>
      </c>
      <c r="E67" s="55">
        <f t="shared" si="7"/>
        <v>1.1000000000000001</v>
      </c>
      <c r="F67" s="53">
        <v>25</v>
      </c>
      <c r="G67" s="55">
        <f t="shared" si="8"/>
        <v>3.5</v>
      </c>
      <c r="H67" s="54">
        <f t="shared" si="9"/>
        <v>87.5</v>
      </c>
      <c r="I67" s="29">
        <f t="shared" si="10"/>
        <v>60</v>
      </c>
    </row>
    <row r="68" spans="1:9" x14ac:dyDescent="0.25">
      <c r="A68" s="47">
        <v>45811</v>
      </c>
      <c r="B68" s="48" t="s">
        <v>8</v>
      </c>
      <c r="C68" s="48" t="s">
        <v>14</v>
      </c>
      <c r="D68" s="49" t="s">
        <v>15</v>
      </c>
      <c r="E68" s="50">
        <f t="shared" si="7"/>
        <v>1.4</v>
      </c>
      <c r="F68" s="49">
        <v>18</v>
      </c>
      <c r="G68" s="50">
        <f t="shared" si="8"/>
        <v>4.5</v>
      </c>
      <c r="H68" s="50">
        <f t="shared" si="9"/>
        <v>81</v>
      </c>
      <c r="I68" s="29">
        <f t="shared" si="10"/>
        <v>55.8</v>
      </c>
    </row>
    <row r="69" spans="1:9" x14ac:dyDescent="0.25">
      <c r="A69" s="51">
        <v>45811</v>
      </c>
      <c r="B69" s="52" t="s">
        <v>8</v>
      </c>
      <c r="C69" s="52" t="s">
        <v>17</v>
      </c>
      <c r="D69" s="53" t="s">
        <v>18</v>
      </c>
      <c r="E69" s="55">
        <f t="shared" si="7"/>
        <v>0.9</v>
      </c>
      <c r="F69" s="53">
        <v>22</v>
      </c>
      <c r="G69" s="55">
        <f t="shared" si="8"/>
        <v>4</v>
      </c>
      <c r="H69" s="54">
        <f t="shared" si="9"/>
        <v>88</v>
      </c>
      <c r="I69" s="29">
        <f t="shared" si="10"/>
        <v>68.2</v>
      </c>
    </row>
    <row r="70" spans="1:9" x14ac:dyDescent="0.25">
      <c r="A70" s="47">
        <v>45812</v>
      </c>
      <c r="B70" s="48" t="s">
        <v>11</v>
      </c>
      <c r="C70" s="48" t="s">
        <v>10</v>
      </c>
      <c r="D70" s="49" t="s">
        <v>9</v>
      </c>
      <c r="E70" s="50">
        <f t="shared" si="7"/>
        <v>6</v>
      </c>
      <c r="F70" s="49">
        <v>12</v>
      </c>
      <c r="G70" s="50">
        <f t="shared" si="8"/>
        <v>17</v>
      </c>
      <c r="H70" s="50">
        <f t="shared" si="9"/>
        <v>204</v>
      </c>
      <c r="I70" s="29">
        <f t="shared" si="10"/>
        <v>132</v>
      </c>
    </row>
    <row r="71" spans="1:9" x14ac:dyDescent="0.25">
      <c r="A71" s="51">
        <v>45812</v>
      </c>
      <c r="B71" s="52" t="s">
        <v>11</v>
      </c>
      <c r="C71" s="52" t="s">
        <v>12</v>
      </c>
      <c r="D71" s="53" t="s">
        <v>13</v>
      </c>
      <c r="E71" s="55">
        <f t="shared" si="7"/>
        <v>0.9</v>
      </c>
      <c r="F71" s="53">
        <v>38</v>
      </c>
      <c r="G71" s="55">
        <f t="shared" si="8"/>
        <v>3</v>
      </c>
      <c r="H71" s="54">
        <f t="shared" si="9"/>
        <v>114</v>
      </c>
      <c r="I71" s="29">
        <f t="shared" si="10"/>
        <v>79.8</v>
      </c>
    </row>
    <row r="72" spans="1:9" x14ac:dyDescent="0.25">
      <c r="A72" s="47">
        <v>45812</v>
      </c>
      <c r="B72" s="48" t="s">
        <v>11</v>
      </c>
      <c r="C72" s="48" t="s">
        <v>57</v>
      </c>
      <c r="D72" s="49" t="s">
        <v>13</v>
      </c>
      <c r="E72" s="50">
        <f t="shared" si="7"/>
        <v>2</v>
      </c>
      <c r="F72" s="49">
        <v>20</v>
      </c>
      <c r="G72" s="50">
        <f t="shared" si="8"/>
        <v>6</v>
      </c>
      <c r="H72" s="50">
        <f t="shared" si="9"/>
        <v>120</v>
      </c>
      <c r="I72" s="29">
        <f t="shared" si="10"/>
        <v>80</v>
      </c>
    </row>
    <row r="73" spans="1:9" x14ac:dyDescent="0.25">
      <c r="A73" s="51">
        <v>45812</v>
      </c>
      <c r="B73" s="52" t="s">
        <v>11</v>
      </c>
      <c r="C73" s="52" t="s">
        <v>20</v>
      </c>
      <c r="D73" s="53" t="s">
        <v>18</v>
      </c>
      <c r="E73" s="55">
        <f t="shared" si="7"/>
        <v>0.8</v>
      </c>
      <c r="F73" s="53">
        <v>25</v>
      </c>
      <c r="G73" s="55">
        <f t="shared" si="8"/>
        <v>4</v>
      </c>
      <c r="H73" s="54">
        <f t="shared" si="9"/>
        <v>100</v>
      </c>
      <c r="I73" s="29">
        <f t="shared" si="10"/>
        <v>80</v>
      </c>
    </row>
    <row r="74" spans="1:9" x14ac:dyDescent="0.25">
      <c r="A74" s="47">
        <v>45813</v>
      </c>
      <c r="B74" s="48" t="s">
        <v>11</v>
      </c>
      <c r="C74" s="48" t="s">
        <v>58</v>
      </c>
      <c r="D74" s="49" t="s">
        <v>9</v>
      </c>
      <c r="E74" s="50">
        <f t="shared" si="7"/>
        <v>5.5</v>
      </c>
      <c r="F74" s="49">
        <v>15</v>
      </c>
      <c r="G74" s="50">
        <f t="shared" si="8"/>
        <v>16</v>
      </c>
      <c r="H74" s="50">
        <f t="shared" si="9"/>
        <v>240</v>
      </c>
      <c r="I74" s="29">
        <f t="shared" si="10"/>
        <v>157.5</v>
      </c>
    </row>
    <row r="75" spans="1:9" x14ac:dyDescent="0.25">
      <c r="A75" s="51">
        <v>45813</v>
      </c>
      <c r="B75" s="52" t="s">
        <v>11</v>
      </c>
      <c r="C75" s="52" t="s">
        <v>59</v>
      </c>
      <c r="D75" s="53" t="s">
        <v>9</v>
      </c>
      <c r="E75" s="55">
        <f t="shared" si="7"/>
        <v>1.1000000000000001</v>
      </c>
      <c r="F75" s="53">
        <v>28</v>
      </c>
      <c r="G75" s="55">
        <f t="shared" si="8"/>
        <v>3.5</v>
      </c>
      <c r="H75" s="54">
        <f t="shared" si="9"/>
        <v>98</v>
      </c>
      <c r="I75" s="29">
        <f t="shared" si="10"/>
        <v>67.199999999999989</v>
      </c>
    </row>
    <row r="76" spans="1:9" x14ac:dyDescent="0.25">
      <c r="A76" s="47">
        <v>45813</v>
      </c>
      <c r="B76" s="48" t="s">
        <v>11</v>
      </c>
      <c r="C76" s="48" t="s">
        <v>14</v>
      </c>
      <c r="D76" s="49" t="s">
        <v>15</v>
      </c>
      <c r="E76" s="50">
        <f t="shared" si="7"/>
        <v>1.4</v>
      </c>
      <c r="F76" s="49">
        <v>14</v>
      </c>
      <c r="G76" s="50">
        <f t="shared" si="8"/>
        <v>4.5</v>
      </c>
      <c r="H76" s="50">
        <f t="shared" si="9"/>
        <v>63</v>
      </c>
      <c r="I76" s="29">
        <f t="shared" si="10"/>
        <v>43.400000000000006</v>
      </c>
    </row>
    <row r="77" spans="1:9" x14ac:dyDescent="0.25">
      <c r="A77" s="51">
        <v>45814</v>
      </c>
      <c r="B77" s="52" t="s">
        <v>8</v>
      </c>
      <c r="C77" s="52" t="s">
        <v>58</v>
      </c>
      <c r="D77" s="53" t="s">
        <v>9</v>
      </c>
      <c r="E77" s="55">
        <f t="shared" si="7"/>
        <v>5.5</v>
      </c>
      <c r="F77" s="53">
        <v>35</v>
      </c>
      <c r="G77" s="55">
        <f t="shared" si="8"/>
        <v>16</v>
      </c>
      <c r="H77" s="54">
        <f t="shared" si="9"/>
        <v>560</v>
      </c>
      <c r="I77" s="29">
        <f t="shared" si="10"/>
        <v>367.5</v>
      </c>
    </row>
    <row r="78" spans="1:9" x14ac:dyDescent="0.25">
      <c r="A78" s="47">
        <v>45814</v>
      </c>
      <c r="B78" s="48" t="s">
        <v>8</v>
      </c>
      <c r="C78" s="48" t="s">
        <v>10</v>
      </c>
      <c r="D78" s="49" t="s">
        <v>9</v>
      </c>
      <c r="E78" s="50">
        <f t="shared" si="7"/>
        <v>6</v>
      </c>
      <c r="F78" s="49">
        <v>30</v>
      </c>
      <c r="G78" s="50">
        <f t="shared" si="8"/>
        <v>17</v>
      </c>
      <c r="H78" s="50">
        <f t="shared" si="9"/>
        <v>510</v>
      </c>
      <c r="I78" s="29">
        <f t="shared" si="10"/>
        <v>330</v>
      </c>
    </row>
    <row r="79" spans="1:9" x14ac:dyDescent="0.25">
      <c r="A79" s="51">
        <v>45814</v>
      </c>
      <c r="B79" s="52" t="s">
        <v>8</v>
      </c>
      <c r="C79" s="52" t="s">
        <v>12</v>
      </c>
      <c r="D79" s="53" t="s">
        <v>13</v>
      </c>
      <c r="E79" s="55">
        <f t="shared" si="7"/>
        <v>0.9</v>
      </c>
      <c r="F79" s="53">
        <v>52</v>
      </c>
      <c r="G79" s="55">
        <f t="shared" si="8"/>
        <v>3</v>
      </c>
      <c r="H79" s="54">
        <f t="shared" si="9"/>
        <v>156</v>
      </c>
      <c r="I79" s="29">
        <f t="shared" si="10"/>
        <v>109.19999999999999</v>
      </c>
    </row>
    <row r="80" spans="1:9" x14ac:dyDescent="0.25">
      <c r="A80" s="47">
        <v>45814</v>
      </c>
      <c r="B80" s="48" t="s">
        <v>8</v>
      </c>
      <c r="C80" s="48" t="s">
        <v>17</v>
      </c>
      <c r="D80" s="49" t="s">
        <v>18</v>
      </c>
      <c r="E80" s="50">
        <f t="shared" si="7"/>
        <v>0.9</v>
      </c>
      <c r="F80" s="49">
        <v>28</v>
      </c>
      <c r="G80" s="50">
        <f t="shared" si="8"/>
        <v>4</v>
      </c>
      <c r="H80" s="50">
        <f t="shared" si="9"/>
        <v>112</v>
      </c>
      <c r="I80" s="29">
        <f t="shared" si="10"/>
        <v>86.8</v>
      </c>
    </row>
    <row r="81" spans="1:9" x14ac:dyDescent="0.25">
      <c r="A81" s="51">
        <v>45815</v>
      </c>
      <c r="B81" s="52" t="s">
        <v>8</v>
      </c>
      <c r="C81" s="52" t="s">
        <v>58</v>
      </c>
      <c r="D81" s="53" t="s">
        <v>9</v>
      </c>
      <c r="E81" s="55">
        <f t="shared" si="7"/>
        <v>5.5</v>
      </c>
      <c r="F81" s="53">
        <v>40</v>
      </c>
      <c r="G81" s="55">
        <f t="shared" si="8"/>
        <v>16</v>
      </c>
      <c r="H81" s="54">
        <f t="shared" si="9"/>
        <v>640</v>
      </c>
      <c r="I81" s="29">
        <f t="shared" si="10"/>
        <v>420</v>
      </c>
    </row>
    <row r="82" spans="1:9" x14ac:dyDescent="0.25">
      <c r="A82" s="47">
        <v>45815</v>
      </c>
      <c r="B82" s="48" t="s">
        <v>8</v>
      </c>
      <c r="C82" s="48" t="s">
        <v>59</v>
      </c>
      <c r="D82" s="49" t="s">
        <v>9</v>
      </c>
      <c r="E82" s="50">
        <f t="shared" si="7"/>
        <v>1.1000000000000001</v>
      </c>
      <c r="F82" s="49">
        <v>22</v>
      </c>
      <c r="G82" s="50">
        <f t="shared" si="8"/>
        <v>3.5</v>
      </c>
      <c r="H82" s="50">
        <f t="shared" si="9"/>
        <v>77</v>
      </c>
      <c r="I82" s="29">
        <f t="shared" si="10"/>
        <v>52.8</v>
      </c>
    </row>
    <row r="83" spans="1:9" x14ac:dyDescent="0.25">
      <c r="A83" s="51">
        <v>45815</v>
      </c>
      <c r="B83" s="52" t="s">
        <v>8</v>
      </c>
      <c r="C83" s="52" t="s">
        <v>57</v>
      </c>
      <c r="D83" s="53" t="s">
        <v>13</v>
      </c>
      <c r="E83" s="55">
        <f t="shared" si="7"/>
        <v>2</v>
      </c>
      <c r="F83" s="53">
        <v>35</v>
      </c>
      <c r="G83" s="55">
        <f t="shared" si="8"/>
        <v>6</v>
      </c>
      <c r="H83" s="54">
        <f t="shared" si="9"/>
        <v>210</v>
      </c>
      <c r="I83" s="29">
        <f t="shared" si="10"/>
        <v>140</v>
      </c>
    </row>
    <row r="84" spans="1:9" x14ac:dyDescent="0.25">
      <c r="A84" s="47">
        <v>45815</v>
      </c>
      <c r="B84" s="48" t="s">
        <v>8</v>
      </c>
      <c r="C84" s="48" t="s">
        <v>20</v>
      </c>
      <c r="D84" s="49" t="s">
        <v>18</v>
      </c>
      <c r="E84" s="50">
        <f t="shared" si="7"/>
        <v>0.8</v>
      </c>
      <c r="F84" s="49">
        <v>32</v>
      </c>
      <c r="G84" s="50">
        <f t="shared" si="8"/>
        <v>4</v>
      </c>
      <c r="H84" s="50">
        <f t="shared" si="9"/>
        <v>128</v>
      </c>
      <c r="I84" s="29">
        <f t="shared" si="10"/>
        <v>102.4</v>
      </c>
    </row>
    <row r="85" spans="1:9" x14ac:dyDescent="0.25">
      <c r="A85" s="51">
        <v>45816</v>
      </c>
      <c r="B85" s="52" t="s">
        <v>19</v>
      </c>
      <c r="C85" s="52" t="s">
        <v>58</v>
      </c>
      <c r="D85" s="53" t="s">
        <v>9</v>
      </c>
      <c r="E85" s="55">
        <f t="shared" si="7"/>
        <v>5.5</v>
      </c>
      <c r="F85" s="53">
        <v>48</v>
      </c>
      <c r="G85" s="55">
        <f t="shared" si="8"/>
        <v>16</v>
      </c>
      <c r="H85" s="54">
        <f t="shared" si="9"/>
        <v>768</v>
      </c>
      <c r="I85" s="29">
        <f t="shared" si="10"/>
        <v>504</v>
      </c>
    </row>
    <row r="86" spans="1:9" x14ac:dyDescent="0.25">
      <c r="A86" s="47">
        <v>45816</v>
      </c>
      <c r="B86" s="48" t="s">
        <v>19</v>
      </c>
      <c r="C86" s="48" t="s">
        <v>10</v>
      </c>
      <c r="D86" s="49" t="s">
        <v>9</v>
      </c>
      <c r="E86" s="50">
        <f t="shared" si="7"/>
        <v>6</v>
      </c>
      <c r="F86" s="49">
        <v>38</v>
      </c>
      <c r="G86" s="50">
        <f t="shared" si="8"/>
        <v>17</v>
      </c>
      <c r="H86" s="50">
        <f t="shared" si="9"/>
        <v>646</v>
      </c>
      <c r="I86" s="29">
        <f t="shared" si="10"/>
        <v>418</v>
      </c>
    </row>
    <row r="87" spans="1:9" x14ac:dyDescent="0.25">
      <c r="A87" s="51">
        <v>45816</v>
      </c>
      <c r="B87" s="52" t="s">
        <v>19</v>
      </c>
      <c r="C87" s="52" t="s">
        <v>12</v>
      </c>
      <c r="D87" s="53" t="s">
        <v>13</v>
      </c>
      <c r="E87" s="55">
        <f t="shared" si="7"/>
        <v>0.9</v>
      </c>
      <c r="F87" s="53">
        <v>65</v>
      </c>
      <c r="G87" s="55">
        <f t="shared" si="8"/>
        <v>3</v>
      </c>
      <c r="H87" s="54">
        <f t="shared" si="9"/>
        <v>195</v>
      </c>
      <c r="I87" s="29">
        <f t="shared" si="10"/>
        <v>136.5</v>
      </c>
    </row>
    <row r="88" spans="1:9" x14ac:dyDescent="0.25">
      <c r="A88" s="47">
        <v>45816</v>
      </c>
      <c r="B88" s="48" t="s">
        <v>19</v>
      </c>
      <c r="C88" s="48" t="s">
        <v>20</v>
      </c>
      <c r="D88" s="49" t="s">
        <v>18</v>
      </c>
      <c r="E88" s="50">
        <f t="shared" si="7"/>
        <v>0.8</v>
      </c>
      <c r="F88" s="49">
        <v>42</v>
      </c>
      <c r="G88" s="50">
        <f t="shared" si="8"/>
        <v>4</v>
      </c>
      <c r="H88" s="50">
        <f t="shared" si="9"/>
        <v>168</v>
      </c>
      <c r="I88" s="29">
        <f t="shared" si="10"/>
        <v>134.4</v>
      </c>
    </row>
    <row r="89" spans="1:9" x14ac:dyDescent="0.25">
      <c r="A89" s="51">
        <v>45816</v>
      </c>
      <c r="B89" s="52" t="s">
        <v>19</v>
      </c>
      <c r="C89" s="52" t="s">
        <v>57</v>
      </c>
      <c r="D89" s="53" t="s">
        <v>13</v>
      </c>
      <c r="E89" s="55">
        <f t="shared" si="7"/>
        <v>2</v>
      </c>
      <c r="F89" s="53">
        <v>35</v>
      </c>
      <c r="G89" s="55">
        <f t="shared" si="8"/>
        <v>6</v>
      </c>
      <c r="H89" s="54">
        <f t="shared" si="9"/>
        <v>210</v>
      </c>
      <c r="I89" s="29">
        <f t="shared" si="10"/>
        <v>140</v>
      </c>
    </row>
    <row r="90" spans="1:9" x14ac:dyDescent="0.25">
      <c r="A90" s="47">
        <v>45817</v>
      </c>
      <c r="B90" s="48" t="s">
        <v>11</v>
      </c>
      <c r="C90" s="48" t="s">
        <v>10</v>
      </c>
      <c r="D90" s="49" t="s">
        <v>9</v>
      </c>
      <c r="E90" s="50">
        <f t="shared" si="7"/>
        <v>6</v>
      </c>
      <c r="F90" s="49">
        <v>10</v>
      </c>
      <c r="G90" s="50">
        <f t="shared" si="8"/>
        <v>17</v>
      </c>
      <c r="H90" s="50">
        <f t="shared" si="9"/>
        <v>170</v>
      </c>
      <c r="I90" s="29">
        <f t="shared" si="10"/>
        <v>110</v>
      </c>
    </row>
    <row r="91" spans="1:9" x14ac:dyDescent="0.25">
      <c r="A91" s="51">
        <v>45817</v>
      </c>
      <c r="B91" s="52" t="s">
        <v>11</v>
      </c>
      <c r="C91" s="52" t="s">
        <v>12</v>
      </c>
      <c r="D91" s="53" t="s">
        <v>13</v>
      </c>
      <c r="E91" s="55">
        <f t="shared" si="7"/>
        <v>0.9</v>
      </c>
      <c r="F91" s="53">
        <v>42</v>
      </c>
      <c r="G91" s="55">
        <f t="shared" si="8"/>
        <v>3</v>
      </c>
      <c r="H91" s="54">
        <f t="shared" si="9"/>
        <v>126</v>
      </c>
      <c r="I91" s="29">
        <f t="shared" si="10"/>
        <v>88.199999999999989</v>
      </c>
    </row>
    <row r="92" spans="1:9" x14ac:dyDescent="0.25">
      <c r="A92" s="47">
        <v>45817</v>
      </c>
      <c r="B92" s="48" t="s">
        <v>11</v>
      </c>
      <c r="C92" s="48" t="s">
        <v>14</v>
      </c>
      <c r="D92" s="49" t="s">
        <v>15</v>
      </c>
      <c r="E92" s="50">
        <f t="shared" si="7"/>
        <v>1.4</v>
      </c>
      <c r="F92" s="49">
        <v>16</v>
      </c>
      <c r="G92" s="50">
        <f t="shared" si="8"/>
        <v>4.5</v>
      </c>
      <c r="H92" s="50">
        <f t="shared" si="9"/>
        <v>72</v>
      </c>
      <c r="I92" s="29">
        <f t="shared" si="10"/>
        <v>49.6</v>
      </c>
    </row>
    <row r="93" spans="1:9" x14ac:dyDescent="0.25">
      <c r="A93" s="51">
        <v>45817</v>
      </c>
      <c r="B93" s="52" t="s">
        <v>11</v>
      </c>
      <c r="C93" s="52" t="s">
        <v>17</v>
      </c>
      <c r="D93" s="53" t="s">
        <v>18</v>
      </c>
      <c r="E93" s="55">
        <f t="shared" si="7"/>
        <v>0.9</v>
      </c>
      <c r="F93" s="53">
        <v>18</v>
      </c>
      <c r="G93" s="55">
        <f t="shared" si="8"/>
        <v>4</v>
      </c>
      <c r="H93" s="54">
        <f t="shared" si="9"/>
        <v>72</v>
      </c>
      <c r="I93" s="29">
        <f t="shared" si="10"/>
        <v>55.8</v>
      </c>
    </row>
    <row r="94" spans="1:9" x14ac:dyDescent="0.25">
      <c r="A94" s="47">
        <v>45818</v>
      </c>
      <c r="B94" s="48" t="s">
        <v>19</v>
      </c>
      <c r="C94" s="48" t="s">
        <v>58</v>
      </c>
      <c r="D94" s="49" t="s">
        <v>9</v>
      </c>
      <c r="E94" s="50">
        <f t="shared" ref="E94:E125" si="11">IF($C94="Poulet curry",$L$2,IF($C94="Bowl Yassa",$L$3,IF($C94="Mikate (beignet)",$L$4,IF($C94="Riz blanc",$L$5,IF($C94="Samoussas (x4)",$L$6,IF($C94="Banane plantain",$L$7,IF($C94="Jus gingembre",$L$8,IF($C94="Bissap maison",$L$9,0))))))))</f>
        <v>5.5</v>
      </c>
      <c r="F94" s="49">
        <v>52</v>
      </c>
      <c r="G94" s="50">
        <f t="shared" ref="G94:G125" si="12">IF($C94="Poulet curry",$M$2,IF($C94="Bowl Yassa",$M$3,IF($C94="Mikate (beignet)",$M$4,IF($C94="Riz blanc",$M$5,IF($C94="Samoussas (x4)",$M$6,IF($C94="Banane plantain",$M$7,IF($C94="Jus gingembre",$M$8,IF($C94="Bissap maison",$M$9,0))))))))</f>
        <v>16</v>
      </c>
      <c r="H94" s="50">
        <f t="shared" si="9"/>
        <v>832</v>
      </c>
      <c r="I94" s="29">
        <f t="shared" si="10"/>
        <v>546</v>
      </c>
    </row>
    <row r="95" spans="1:9" x14ac:dyDescent="0.25">
      <c r="A95" s="51">
        <v>45818</v>
      </c>
      <c r="B95" s="52" t="s">
        <v>19</v>
      </c>
      <c r="C95" s="52" t="s">
        <v>10</v>
      </c>
      <c r="D95" s="53" t="s">
        <v>9</v>
      </c>
      <c r="E95" s="55">
        <f t="shared" si="11"/>
        <v>6</v>
      </c>
      <c r="F95" s="53">
        <v>40</v>
      </c>
      <c r="G95" s="55">
        <f t="shared" si="12"/>
        <v>17</v>
      </c>
      <c r="H95" s="54">
        <f t="shared" si="9"/>
        <v>680</v>
      </c>
      <c r="I95" s="29">
        <f t="shared" si="10"/>
        <v>440</v>
      </c>
    </row>
    <row r="96" spans="1:9" x14ac:dyDescent="0.25">
      <c r="A96" s="47">
        <v>45818</v>
      </c>
      <c r="B96" s="48" t="s">
        <v>19</v>
      </c>
      <c r="C96" s="48" t="s">
        <v>12</v>
      </c>
      <c r="D96" s="49" t="s">
        <v>13</v>
      </c>
      <c r="E96" s="50">
        <f t="shared" si="11"/>
        <v>0.9</v>
      </c>
      <c r="F96" s="49">
        <v>70</v>
      </c>
      <c r="G96" s="50">
        <f t="shared" si="12"/>
        <v>3</v>
      </c>
      <c r="H96" s="50">
        <f t="shared" si="9"/>
        <v>210</v>
      </c>
      <c r="I96" s="29">
        <f t="shared" si="10"/>
        <v>147</v>
      </c>
    </row>
    <row r="97" spans="1:9" x14ac:dyDescent="0.25">
      <c r="A97" s="51">
        <v>45818</v>
      </c>
      <c r="B97" s="52" t="s">
        <v>19</v>
      </c>
      <c r="C97" s="52" t="s">
        <v>17</v>
      </c>
      <c r="D97" s="53" t="s">
        <v>18</v>
      </c>
      <c r="E97" s="55">
        <f t="shared" si="11"/>
        <v>0.9</v>
      </c>
      <c r="F97" s="53">
        <v>38</v>
      </c>
      <c r="G97" s="55">
        <f t="shared" si="12"/>
        <v>4</v>
      </c>
      <c r="H97" s="54">
        <f t="shared" si="9"/>
        <v>152</v>
      </c>
      <c r="I97" s="29">
        <f t="shared" si="10"/>
        <v>117.8</v>
      </c>
    </row>
    <row r="98" spans="1:9" x14ac:dyDescent="0.25">
      <c r="A98" s="47">
        <v>45818</v>
      </c>
      <c r="B98" s="48" t="s">
        <v>19</v>
      </c>
      <c r="C98" s="48" t="s">
        <v>14</v>
      </c>
      <c r="D98" s="49" t="s">
        <v>15</v>
      </c>
      <c r="E98" s="50">
        <f t="shared" si="11"/>
        <v>1.4</v>
      </c>
      <c r="F98" s="49">
        <v>25</v>
      </c>
      <c r="G98" s="50">
        <f t="shared" si="12"/>
        <v>4.5</v>
      </c>
      <c r="H98" s="50">
        <f t="shared" si="9"/>
        <v>112.5</v>
      </c>
      <c r="I98" s="29">
        <f t="shared" si="10"/>
        <v>77.5</v>
      </c>
    </row>
    <row r="99" spans="1:9" x14ac:dyDescent="0.25">
      <c r="A99" s="51">
        <v>45819</v>
      </c>
      <c r="B99" s="52" t="s">
        <v>8</v>
      </c>
      <c r="C99" s="52" t="s">
        <v>58</v>
      </c>
      <c r="D99" s="53" t="s">
        <v>9</v>
      </c>
      <c r="E99" s="55">
        <f t="shared" si="11"/>
        <v>5.5</v>
      </c>
      <c r="F99" s="53">
        <v>38</v>
      </c>
      <c r="G99" s="55">
        <f t="shared" si="12"/>
        <v>16</v>
      </c>
      <c r="H99" s="54">
        <f t="shared" si="9"/>
        <v>608</v>
      </c>
      <c r="I99" s="29">
        <f t="shared" si="10"/>
        <v>399</v>
      </c>
    </row>
    <row r="100" spans="1:9" x14ac:dyDescent="0.25">
      <c r="A100" s="47">
        <v>45819</v>
      </c>
      <c r="B100" s="48" t="s">
        <v>8</v>
      </c>
      <c r="C100" s="48" t="s">
        <v>10</v>
      </c>
      <c r="D100" s="49" t="s">
        <v>9</v>
      </c>
      <c r="E100" s="50">
        <f t="shared" si="11"/>
        <v>6</v>
      </c>
      <c r="F100" s="49">
        <v>26</v>
      </c>
      <c r="G100" s="50">
        <f t="shared" si="12"/>
        <v>17</v>
      </c>
      <c r="H100" s="50">
        <f t="shared" si="9"/>
        <v>442</v>
      </c>
      <c r="I100" s="29">
        <f t="shared" si="10"/>
        <v>286</v>
      </c>
    </row>
    <row r="101" spans="1:9" x14ac:dyDescent="0.25">
      <c r="A101" s="51">
        <v>45819</v>
      </c>
      <c r="B101" s="52" t="s">
        <v>8</v>
      </c>
      <c r="C101" s="52" t="s">
        <v>12</v>
      </c>
      <c r="D101" s="53" t="s">
        <v>13</v>
      </c>
      <c r="E101" s="55">
        <f t="shared" si="11"/>
        <v>0.9</v>
      </c>
      <c r="F101" s="53">
        <v>48</v>
      </c>
      <c r="G101" s="55">
        <f t="shared" si="12"/>
        <v>3</v>
      </c>
      <c r="H101" s="54">
        <f t="shared" si="9"/>
        <v>144</v>
      </c>
      <c r="I101" s="29">
        <f t="shared" si="10"/>
        <v>100.8</v>
      </c>
    </row>
    <row r="102" spans="1:9" x14ac:dyDescent="0.25">
      <c r="A102" s="47">
        <v>45819</v>
      </c>
      <c r="B102" s="48" t="s">
        <v>8</v>
      </c>
      <c r="C102" s="48" t="s">
        <v>20</v>
      </c>
      <c r="D102" s="49" t="s">
        <v>18</v>
      </c>
      <c r="E102" s="50">
        <f t="shared" si="11"/>
        <v>0.8</v>
      </c>
      <c r="F102" s="49">
        <v>35</v>
      </c>
      <c r="G102" s="50">
        <f t="shared" si="12"/>
        <v>4</v>
      </c>
      <c r="H102" s="50">
        <f t="shared" si="9"/>
        <v>140</v>
      </c>
      <c r="I102" s="29">
        <f t="shared" si="10"/>
        <v>112</v>
      </c>
    </row>
    <row r="103" spans="1:9" x14ac:dyDescent="0.25">
      <c r="A103" s="51">
        <v>45820</v>
      </c>
      <c r="B103" s="52" t="s">
        <v>8</v>
      </c>
      <c r="C103" s="52" t="s">
        <v>58</v>
      </c>
      <c r="D103" s="53" t="s">
        <v>9</v>
      </c>
      <c r="E103" s="55">
        <f t="shared" si="11"/>
        <v>5.5</v>
      </c>
      <c r="F103" s="53">
        <v>42</v>
      </c>
      <c r="G103" s="55">
        <f t="shared" si="12"/>
        <v>16</v>
      </c>
      <c r="H103" s="54">
        <f t="shared" si="9"/>
        <v>672</v>
      </c>
      <c r="I103" s="29">
        <f t="shared" si="10"/>
        <v>441</v>
      </c>
    </row>
    <row r="104" spans="1:9" x14ac:dyDescent="0.25">
      <c r="A104" s="47">
        <v>45820</v>
      </c>
      <c r="B104" s="48" t="s">
        <v>8</v>
      </c>
      <c r="C104" s="48" t="s">
        <v>59</v>
      </c>
      <c r="D104" s="49" t="s">
        <v>9</v>
      </c>
      <c r="E104" s="50">
        <f t="shared" si="11"/>
        <v>1.1000000000000001</v>
      </c>
      <c r="F104" s="49">
        <v>30</v>
      </c>
      <c r="G104" s="50">
        <f t="shared" si="12"/>
        <v>3.5</v>
      </c>
      <c r="H104" s="50">
        <f t="shared" si="9"/>
        <v>105</v>
      </c>
      <c r="I104" s="29">
        <f t="shared" si="10"/>
        <v>72</v>
      </c>
    </row>
    <row r="105" spans="1:9" x14ac:dyDescent="0.25">
      <c r="A105" s="51">
        <v>45820</v>
      </c>
      <c r="B105" s="52" t="s">
        <v>8</v>
      </c>
      <c r="C105" s="52" t="s">
        <v>57</v>
      </c>
      <c r="D105" s="53" t="s">
        <v>13</v>
      </c>
      <c r="E105" s="55">
        <f t="shared" si="11"/>
        <v>2</v>
      </c>
      <c r="F105" s="53">
        <v>28</v>
      </c>
      <c r="G105" s="55">
        <f t="shared" si="12"/>
        <v>6</v>
      </c>
      <c r="H105" s="54">
        <f t="shared" si="9"/>
        <v>168</v>
      </c>
      <c r="I105" s="29">
        <f t="shared" si="10"/>
        <v>112</v>
      </c>
    </row>
    <row r="106" spans="1:9" x14ac:dyDescent="0.25">
      <c r="A106" s="47">
        <v>45820</v>
      </c>
      <c r="B106" s="48" t="s">
        <v>8</v>
      </c>
      <c r="C106" s="48" t="s">
        <v>17</v>
      </c>
      <c r="D106" s="49" t="s">
        <v>18</v>
      </c>
      <c r="E106" s="50">
        <f t="shared" si="11"/>
        <v>0.9</v>
      </c>
      <c r="F106" s="49">
        <v>24</v>
      </c>
      <c r="G106" s="50">
        <f t="shared" si="12"/>
        <v>4</v>
      </c>
      <c r="H106" s="50">
        <f t="shared" si="9"/>
        <v>96</v>
      </c>
      <c r="I106" s="29">
        <f t="shared" si="10"/>
        <v>74.400000000000006</v>
      </c>
    </row>
    <row r="107" spans="1:9" x14ac:dyDescent="0.25">
      <c r="A107" s="51">
        <v>45821</v>
      </c>
      <c r="B107" s="52" t="s">
        <v>11</v>
      </c>
      <c r="C107" s="52" t="s">
        <v>10</v>
      </c>
      <c r="D107" s="53" t="s">
        <v>9</v>
      </c>
      <c r="E107" s="55">
        <f t="shared" si="11"/>
        <v>6</v>
      </c>
      <c r="F107" s="53">
        <v>8</v>
      </c>
      <c r="G107" s="55">
        <f t="shared" si="12"/>
        <v>17</v>
      </c>
      <c r="H107" s="54">
        <f t="shared" si="9"/>
        <v>136</v>
      </c>
      <c r="I107" s="29">
        <f t="shared" si="10"/>
        <v>88</v>
      </c>
    </row>
    <row r="108" spans="1:9" x14ac:dyDescent="0.25">
      <c r="A108" s="47">
        <v>45821</v>
      </c>
      <c r="B108" s="48" t="s">
        <v>11</v>
      </c>
      <c r="C108" s="48" t="s">
        <v>12</v>
      </c>
      <c r="D108" s="49" t="s">
        <v>13</v>
      </c>
      <c r="E108" s="50">
        <f t="shared" si="11"/>
        <v>0.9</v>
      </c>
      <c r="F108" s="49">
        <v>35</v>
      </c>
      <c r="G108" s="50">
        <f t="shared" si="12"/>
        <v>3</v>
      </c>
      <c r="H108" s="50">
        <f t="shared" si="9"/>
        <v>105</v>
      </c>
      <c r="I108" s="29">
        <f t="shared" si="10"/>
        <v>73.5</v>
      </c>
    </row>
    <row r="109" spans="1:9" x14ac:dyDescent="0.25">
      <c r="A109" s="51">
        <v>45821</v>
      </c>
      <c r="B109" s="52" t="s">
        <v>11</v>
      </c>
      <c r="C109" s="52" t="s">
        <v>14</v>
      </c>
      <c r="D109" s="53" t="s">
        <v>15</v>
      </c>
      <c r="E109" s="55">
        <f t="shared" si="11"/>
        <v>1.4</v>
      </c>
      <c r="F109" s="53">
        <v>12</v>
      </c>
      <c r="G109" s="55">
        <f t="shared" si="12"/>
        <v>4.5</v>
      </c>
      <c r="H109" s="54">
        <f t="shared" si="9"/>
        <v>54</v>
      </c>
      <c r="I109" s="29">
        <f t="shared" si="10"/>
        <v>37.200000000000003</v>
      </c>
    </row>
    <row r="110" spans="1:9" x14ac:dyDescent="0.25">
      <c r="A110" s="47">
        <v>45821</v>
      </c>
      <c r="B110" s="48" t="s">
        <v>11</v>
      </c>
      <c r="C110" s="48" t="s">
        <v>20</v>
      </c>
      <c r="D110" s="49" t="s">
        <v>18</v>
      </c>
      <c r="E110" s="50">
        <f t="shared" si="11"/>
        <v>0.8</v>
      </c>
      <c r="F110" s="49">
        <v>20</v>
      </c>
      <c r="G110" s="50">
        <f t="shared" si="12"/>
        <v>4</v>
      </c>
      <c r="H110" s="50">
        <f t="shared" si="9"/>
        <v>80</v>
      </c>
      <c r="I110" s="29">
        <f t="shared" si="10"/>
        <v>64</v>
      </c>
    </row>
    <row r="111" spans="1:9" x14ac:dyDescent="0.25">
      <c r="A111" s="51">
        <v>45822</v>
      </c>
      <c r="B111" s="52" t="s">
        <v>8</v>
      </c>
      <c r="C111" s="52" t="s">
        <v>58</v>
      </c>
      <c r="D111" s="53" t="s">
        <v>9</v>
      </c>
      <c r="E111" s="55">
        <f t="shared" si="11"/>
        <v>5.5</v>
      </c>
      <c r="F111" s="53">
        <v>44</v>
      </c>
      <c r="G111" s="55">
        <f t="shared" si="12"/>
        <v>16</v>
      </c>
      <c r="H111" s="54">
        <f t="shared" si="9"/>
        <v>704</v>
      </c>
      <c r="I111" s="29">
        <f t="shared" si="10"/>
        <v>462</v>
      </c>
    </row>
    <row r="112" spans="1:9" x14ac:dyDescent="0.25">
      <c r="A112" s="47">
        <v>45822</v>
      </c>
      <c r="B112" s="48" t="s">
        <v>8</v>
      </c>
      <c r="C112" s="48" t="s">
        <v>10</v>
      </c>
      <c r="D112" s="49" t="s">
        <v>9</v>
      </c>
      <c r="E112" s="50">
        <f t="shared" si="11"/>
        <v>6</v>
      </c>
      <c r="F112" s="49">
        <v>32</v>
      </c>
      <c r="G112" s="50">
        <f t="shared" si="12"/>
        <v>17</v>
      </c>
      <c r="H112" s="50">
        <f t="shared" si="9"/>
        <v>544</v>
      </c>
      <c r="I112" s="29">
        <f t="shared" si="10"/>
        <v>352</v>
      </c>
    </row>
    <row r="113" spans="1:9" x14ac:dyDescent="0.25">
      <c r="A113" s="51">
        <v>45822</v>
      </c>
      <c r="B113" s="52" t="s">
        <v>8</v>
      </c>
      <c r="C113" s="52" t="s">
        <v>12</v>
      </c>
      <c r="D113" s="53" t="s">
        <v>13</v>
      </c>
      <c r="E113" s="55">
        <f t="shared" si="11"/>
        <v>0.9</v>
      </c>
      <c r="F113" s="53">
        <v>55</v>
      </c>
      <c r="G113" s="55">
        <f t="shared" si="12"/>
        <v>3</v>
      </c>
      <c r="H113" s="54">
        <f t="shared" si="9"/>
        <v>165</v>
      </c>
      <c r="I113" s="29">
        <f t="shared" si="10"/>
        <v>115.5</v>
      </c>
    </row>
    <row r="114" spans="1:9" x14ac:dyDescent="0.25">
      <c r="A114" s="47">
        <v>45822</v>
      </c>
      <c r="B114" s="48" t="s">
        <v>8</v>
      </c>
      <c r="C114" s="48" t="s">
        <v>17</v>
      </c>
      <c r="D114" s="49" t="s">
        <v>18</v>
      </c>
      <c r="E114" s="50">
        <f t="shared" si="11"/>
        <v>0.9</v>
      </c>
      <c r="F114" s="49">
        <v>30</v>
      </c>
      <c r="G114" s="50">
        <f t="shared" si="12"/>
        <v>4</v>
      </c>
      <c r="H114" s="50">
        <f t="shared" si="9"/>
        <v>120</v>
      </c>
      <c r="I114" s="29">
        <f t="shared" si="10"/>
        <v>93</v>
      </c>
    </row>
    <row r="115" spans="1:9" x14ac:dyDescent="0.25">
      <c r="A115" s="51">
        <v>45823</v>
      </c>
      <c r="B115" s="52" t="s">
        <v>16</v>
      </c>
      <c r="C115" s="52" t="s">
        <v>58</v>
      </c>
      <c r="D115" s="53" t="s">
        <v>9</v>
      </c>
      <c r="E115" s="55">
        <f t="shared" si="11"/>
        <v>5.5</v>
      </c>
      <c r="F115" s="53">
        <v>22</v>
      </c>
      <c r="G115" s="55">
        <f t="shared" si="12"/>
        <v>16</v>
      </c>
      <c r="H115" s="54">
        <f t="shared" si="9"/>
        <v>352</v>
      </c>
      <c r="I115" s="29">
        <f t="shared" si="10"/>
        <v>231</v>
      </c>
    </row>
    <row r="116" spans="1:9" x14ac:dyDescent="0.25">
      <c r="A116" s="47">
        <v>45823</v>
      </c>
      <c r="B116" s="48" t="s">
        <v>16</v>
      </c>
      <c r="C116" s="48" t="s">
        <v>10</v>
      </c>
      <c r="D116" s="49" t="s">
        <v>9</v>
      </c>
      <c r="E116" s="50">
        <f t="shared" si="11"/>
        <v>6</v>
      </c>
      <c r="F116" s="49">
        <v>18</v>
      </c>
      <c r="G116" s="50">
        <f t="shared" si="12"/>
        <v>17</v>
      </c>
      <c r="H116" s="50">
        <f t="shared" si="9"/>
        <v>306</v>
      </c>
      <c r="I116" s="29">
        <f t="shared" si="10"/>
        <v>198</v>
      </c>
    </row>
    <row r="117" spans="1:9" x14ac:dyDescent="0.25">
      <c r="A117" s="51">
        <v>45823</v>
      </c>
      <c r="B117" s="52" t="s">
        <v>16</v>
      </c>
      <c r="C117" s="52" t="s">
        <v>12</v>
      </c>
      <c r="D117" s="53" t="s">
        <v>13</v>
      </c>
      <c r="E117" s="55">
        <f t="shared" si="11"/>
        <v>0.9</v>
      </c>
      <c r="F117" s="53">
        <v>30</v>
      </c>
      <c r="G117" s="55">
        <f t="shared" si="12"/>
        <v>3</v>
      </c>
      <c r="H117" s="54">
        <f t="shared" si="9"/>
        <v>90</v>
      </c>
      <c r="I117" s="29">
        <f t="shared" si="10"/>
        <v>63</v>
      </c>
    </row>
    <row r="118" spans="1:9" x14ac:dyDescent="0.25">
      <c r="A118" s="47">
        <v>45823</v>
      </c>
      <c r="B118" s="48" t="s">
        <v>16</v>
      </c>
      <c r="C118" s="48" t="s">
        <v>20</v>
      </c>
      <c r="D118" s="49" t="s">
        <v>18</v>
      </c>
      <c r="E118" s="50">
        <f t="shared" si="11"/>
        <v>0.8</v>
      </c>
      <c r="F118" s="49">
        <v>20</v>
      </c>
      <c r="G118" s="50">
        <f t="shared" si="12"/>
        <v>4</v>
      </c>
      <c r="H118" s="50">
        <f t="shared" si="9"/>
        <v>80</v>
      </c>
      <c r="I118" s="29">
        <f t="shared" si="10"/>
        <v>64</v>
      </c>
    </row>
    <row r="119" spans="1:9" x14ac:dyDescent="0.25">
      <c r="A119" s="51">
        <v>45824</v>
      </c>
      <c r="B119" s="52" t="s">
        <v>11</v>
      </c>
      <c r="C119" s="52" t="s">
        <v>58</v>
      </c>
      <c r="D119" s="53" t="s">
        <v>9</v>
      </c>
      <c r="E119" s="55">
        <f t="shared" si="11"/>
        <v>5.5</v>
      </c>
      <c r="F119" s="53">
        <v>18</v>
      </c>
      <c r="G119" s="55">
        <f t="shared" si="12"/>
        <v>16</v>
      </c>
      <c r="H119" s="54">
        <f t="shared" si="9"/>
        <v>288</v>
      </c>
      <c r="I119" s="29">
        <f t="shared" si="10"/>
        <v>189</v>
      </c>
    </row>
    <row r="120" spans="1:9" x14ac:dyDescent="0.25">
      <c r="A120" s="47">
        <v>45824</v>
      </c>
      <c r="B120" s="48" t="s">
        <v>11</v>
      </c>
      <c r="C120" s="48" t="s">
        <v>59</v>
      </c>
      <c r="D120" s="49" t="s">
        <v>9</v>
      </c>
      <c r="E120" s="50">
        <f t="shared" si="11"/>
        <v>1.1000000000000001</v>
      </c>
      <c r="F120" s="49">
        <v>30</v>
      </c>
      <c r="G120" s="50">
        <f t="shared" si="12"/>
        <v>3.5</v>
      </c>
      <c r="H120" s="50">
        <f t="shared" si="9"/>
        <v>105</v>
      </c>
      <c r="I120" s="29">
        <f t="shared" si="10"/>
        <v>72</v>
      </c>
    </row>
    <row r="121" spans="1:9" x14ac:dyDescent="0.25">
      <c r="A121" s="51">
        <v>45824</v>
      </c>
      <c r="B121" s="52" t="s">
        <v>11</v>
      </c>
      <c r="C121" s="52" t="s">
        <v>57</v>
      </c>
      <c r="D121" s="53" t="s">
        <v>13</v>
      </c>
      <c r="E121" s="55">
        <f t="shared" si="11"/>
        <v>2</v>
      </c>
      <c r="F121" s="53">
        <v>22</v>
      </c>
      <c r="G121" s="55">
        <f t="shared" si="12"/>
        <v>6</v>
      </c>
      <c r="H121" s="54">
        <f t="shared" si="9"/>
        <v>132</v>
      </c>
      <c r="I121" s="29">
        <f t="shared" si="10"/>
        <v>88</v>
      </c>
    </row>
    <row r="122" spans="1:9" x14ac:dyDescent="0.25">
      <c r="A122" s="47">
        <v>45824</v>
      </c>
      <c r="B122" s="48" t="s">
        <v>11</v>
      </c>
      <c r="C122" s="48" t="s">
        <v>20</v>
      </c>
      <c r="D122" s="49" t="s">
        <v>18</v>
      </c>
      <c r="E122" s="50">
        <f t="shared" si="11"/>
        <v>0.8</v>
      </c>
      <c r="F122" s="49">
        <v>28</v>
      </c>
      <c r="G122" s="50">
        <f t="shared" si="12"/>
        <v>4</v>
      </c>
      <c r="H122" s="50">
        <f t="shared" si="9"/>
        <v>112</v>
      </c>
      <c r="I122" s="29">
        <f t="shared" si="10"/>
        <v>89.6</v>
      </c>
    </row>
    <row r="123" spans="1:9" x14ac:dyDescent="0.25">
      <c r="A123" s="51">
        <v>45826</v>
      </c>
      <c r="B123" s="52" t="s">
        <v>8</v>
      </c>
      <c r="C123" s="52" t="s">
        <v>58</v>
      </c>
      <c r="D123" s="53" t="s">
        <v>9</v>
      </c>
      <c r="E123" s="55">
        <f t="shared" si="11"/>
        <v>5.5</v>
      </c>
      <c r="F123" s="53">
        <v>36</v>
      </c>
      <c r="G123" s="55">
        <f t="shared" si="12"/>
        <v>16</v>
      </c>
      <c r="H123" s="54">
        <f t="shared" si="9"/>
        <v>576</v>
      </c>
      <c r="I123" s="29">
        <f t="shared" si="10"/>
        <v>378</v>
      </c>
    </row>
    <row r="124" spans="1:9" x14ac:dyDescent="0.25">
      <c r="A124" s="47">
        <v>45826</v>
      </c>
      <c r="B124" s="48" t="s">
        <v>8</v>
      </c>
      <c r="C124" s="48" t="s">
        <v>10</v>
      </c>
      <c r="D124" s="49" t="s">
        <v>9</v>
      </c>
      <c r="E124" s="50">
        <f t="shared" si="11"/>
        <v>6</v>
      </c>
      <c r="F124" s="49">
        <v>28</v>
      </c>
      <c r="G124" s="50">
        <f t="shared" si="12"/>
        <v>17</v>
      </c>
      <c r="H124" s="50">
        <f t="shared" si="9"/>
        <v>476</v>
      </c>
      <c r="I124" s="29">
        <f t="shared" si="10"/>
        <v>308</v>
      </c>
    </row>
    <row r="125" spans="1:9" x14ac:dyDescent="0.25">
      <c r="A125" s="51">
        <v>45826</v>
      </c>
      <c r="B125" s="52" t="s">
        <v>8</v>
      </c>
      <c r="C125" s="52" t="s">
        <v>12</v>
      </c>
      <c r="D125" s="53" t="s">
        <v>13</v>
      </c>
      <c r="E125" s="55">
        <f t="shared" si="11"/>
        <v>0.9</v>
      </c>
      <c r="F125" s="53">
        <v>50</v>
      </c>
      <c r="G125" s="55">
        <f t="shared" si="12"/>
        <v>3</v>
      </c>
      <c r="H125" s="54">
        <f t="shared" si="9"/>
        <v>150</v>
      </c>
      <c r="I125" s="29">
        <f t="shared" ref="I125:I188" si="13">H125-(E125*F125)</f>
        <v>105</v>
      </c>
    </row>
    <row r="126" spans="1:9" x14ac:dyDescent="0.25">
      <c r="A126" s="47">
        <v>45826</v>
      </c>
      <c r="B126" s="48" t="s">
        <v>8</v>
      </c>
      <c r="C126" s="48" t="s">
        <v>14</v>
      </c>
      <c r="D126" s="49" t="s">
        <v>15</v>
      </c>
      <c r="E126" s="50">
        <f t="shared" ref="E126:E157" si="14">IF($C126="Poulet curry",$L$2,IF($C126="Bowl Yassa",$L$3,IF($C126="Mikate (beignet)",$L$4,IF($C126="Riz blanc",$L$5,IF($C126="Samoussas (x4)",$L$6,IF($C126="Banane plantain",$L$7,IF($C126="Jus gingembre",$L$8,IF($C126="Bissap maison",$L$9,0))))))))</f>
        <v>1.4</v>
      </c>
      <c r="F126" s="49">
        <v>20</v>
      </c>
      <c r="G126" s="50">
        <f t="shared" ref="G126:G157" si="15">IF($C126="Poulet curry",$M$2,IF($C126="Bowl Yassa",$M$3,IF($C126="Mikate (beignet)",$M$4,IF($C126="Riz blanc",$M$5,IF($C126="Samoussas (x4)",$M$6,IF($C126="Banane plantain",$M$7,IF($C126="Jus gingembre",$M$8,IF($C126="Bissap maison",$M$9,0))))))))</f>
        <v>4.5</v>
      </c>
      <c r="H126" s="50">
        <f t="shared" ref="H126:H189" si="16">F126*G126</f>
        <v>90</v>
      </c>
      <c r="I126" s="29">
        <f t="shared" si="13"/>
        <v>62</v>
      </c>
    </row>
    <row r="127" spans="1:9" x14ac:dyDescent="0.25">
      <c r="A127" s="51">
        <v>45827</v>
      </c>
      <c r="B127" s="52" t="s">
        <v>8</v>
      </c>
      <c r="C127" s="52" t="s">
        <v>58</v>
      </c>
      <c r="D127" s="53" t="s">
        <v>9</v>
      </c>
      <c r="E127" s="55">
        <f t="shared" si="14"/>
        <v>5.5</v>
      </c>
      <c r="F127" s="53">
        <v>39</v>
      </c>
      <c r="G127" s="55">
        <f t="shared" si="15"/>
        <v>16</v>
      </c>
      <c r="H127" s="54">
        <f t="shared" si="16"/>
        <v>624</v>
      </c>
      <c r="I127" s="29">
        <f t="shared" si="13"/>
        <v>409.5</v>
      </c>
    </row>
    <row r="128" spans="1:9" x14ac:dyDescent="0.25">
      <c r="A128" s="47">
        <v>45827</v>
      </c>
      <c r="B128" s="48" t="s">
        <v>8</v>
      </c>
      <c r="C128" s="48" t="s">
        <v>59</v>
      </c>
      <c r="D128" s="49" t="s">
        <v>9</v>
      </c>
      <c r="E128" s="50">
        <f t="shared" si="14"/>
        <v>1.1000000000000001</v>
      </c>
      <c r="F128" s="49">
        <v>26</v>
      </c>
      <c r="G128" s="50">
        <f t="shared" si="15"/>
        <v>3.5</v>
      </c>
      <c r="H128" s="50">
        <f t="shared" si="16"/>
        <v>91</v>
      </c>
      <c r="I128" s="29">
        <f t="shared" si="13"/>
        <v>62.4</v>
      </c>
    </row>
    <row r="129" spans="1:9" x14ac:dyDescent="0.25">
      <c r="A129" s="51">
        <v>45827</v>
      </c>
      <c r="B129" s="52" t="s">
        <v>8</v>
      </c>
      <c r="C129" s="52" t="s">
        <v>57</v>
      </c>
      <c r="D129" s="53" t="s">
        <v>13</v>
      </c>
      <c r="E129" s="55">
        <f t="shared" si="14"/>
        <v>2</v>
      </c>
      <c r="F129" s="53">
        <v>30</v>
      </c>
      <c r="G129" s="55">
        <f t="shared" si="15"/>
        <v>6</v>
      </c>
      <c r="H129" s="54">
        <f t="shared" si="16"/>
        <v>180</v>
      </c>
      <c r="I129" s="29">
        <f t="shared" si="13"/>
        <v>120</v>
      </c>
    </row>
    <row r="130" spans="1:9" x14ac:dyDescent="0.25">
      <c r="A130" s="47">
        <v>45827</v>
      </c>
      <c r="B130" s="48" t="s">
        <v>8</v>
      </c>
      <c r="C130" s="48" t="s">
        <v>20</v>
      </c>
      <c r="D130" s="49" t="s">
        <v>18</v>
      </c>
      <c r="E130" s="50">
        <f t="shared" si="14"/>
        <v>0.8</v>
      </c>
      <c r="F130" s="49">
        <v>33</v>
      </c>
      <c r="G130" s="50">
        <f t="shared" si="15"/>
        <v>4</v>
      </c>
      <c r="H130" s="50">
        <f t="shared" si="16"/>
        <v>132</v>
      </c>
      <c r="I130" s="29">
        <f t="shared" si="13"/>
        <v>105.6</v>
      </c>
    </row>
    <row r="131" spans="1:9" x14ac:dyDescent="0.25">
      <c r="A131" s="51">
        <v>45828</v>
      </c>
      <c r="B131" s="52" t="s">
        <v>11</v>
      </c>
      <c r="C131" s="52" t="s">
        <v>10</v>
      </c>
      <c r="D131" s="53" t="s">
        <v>9</v>
      </c>
      <c r="E131" s="55">
        <f t="shared" si="14"/>
        <v>6</v>
      </c>
      <c r="F131" s="53">
        <v>11</v>
      </c>
      <c r="G131" s="55">
        <f t="shared" si="15"/>
        <v>17</v>
      </c>
      <c r="H131" s="54">
        <f t="shared" si="16"/>
        <v>187</v>
      </c>
      <c r="I131" s="29">
        <f t="shared" si="13"/>
        <v>121</v>
      </c>
    </row>
    <row r="132" spans="1:9" x14ac:dyDescent="0.25">
      <c r="A132" s="47">
        <v>45828</v>
      </c>
      <c r="B132" s="48" t="s">
        <v>11</v>
      </c>
      <c r="C132" s="48" t="s">
        <v>12</v>
      </c>
      <c r="D132" s="49" t="s">
        <v>13</v>
      </c>
      <c r="E132" s="50">
        <f t="shared" si="14"/>
        <v>0.9</v>
      </c>
      <c r="F132" s="49">
        <v>40</v>
      </c>
      <c r="G132" s="50">
        <f t="shared" si="15"/>
        <v>3</v>
      </c>
      <c r="H132" s="50">
        <f t="shared" si="16"/>
        <v>120</v>
      </c>
      <c r="I132" s="29">
        <f t="shared" si="13"/>
        <v>84</v>
      </c>
    </row>
    <row r="133" spans="1:9" x14ac:dyDescent="0.25">
      <c r="A133" s="51">
        <v>45828</v>
      </c>
      <c r="B133" s="52" t="s">
        <v>11</v>
      </c>
      <c r="C133" s="52" t="s">
        <v>17</v>
      </c>
      <c r="D133" s="53" t="s">
        <v>18</v>
      </c>
      <c r="E133" s="55">
        <f t="shared" si="14"/>
        <v>0.9</v>
      </c>
      <c r="F133" s="53">
        <v>20</v>
      </c>
      <c r="G133" s="55">
        <f t="shared" si="15"/>
        <v>4</v>
      </c>
      <c r="H133" s="54">
        <f t="shared" si="16"/>
        <v>80</v>
      </c>
      <c r="I133" s="29">
        <f t="shared" si="13"/>
        <v>62</v>
      </c>
    </row>
    <row r="134" spans="1:9" x14ac:dyDescent="0.25">
      <c r="A134" s="47">
        <v>45829</v>
      </c>
      <c r="B134" s="48" t="s">
        <v>8</v>
      </c>
      <c r="C134" s="48" t="s">
        <v>58</v>
      </c>
      <c r="D134" s="49" t="s">
        <v>9</v>
      </c>
      <c r="E134" s="50">
        <f t="shared" si="14"/>
        <v>5.5</v>
      </c>
      <c r="F134" s="49">
        <v>45</v>
      </c>
      <c r="G134" s="50">
        <f t="shared" si="15"/>
        <v>16</v>
      </c>
      <c r="H134" s="50">
        <f t="shared" si="16"/>
        <v>720</v>
      </c>
      <c r="I134" s="29">
        <f t="shared" si="13"/>
        <v>472.5</v>
      </c>
    </row>
    <row r="135" spans="1:9" x14ac:dyDescent="0.25">
      <c r="A135" s="51">
        <v>45829</v>
      </c>
      <c r="B135" s="52" t="s">
        <v>8</v>
      </c>
      <c r="C135" s="52" t="s">
        <v>10</v>
      </c>
      <c r="D135" s="53" t="s">
        <v>9</v>
      </c>
      <c r="E135" s="55">
        <f t="shared" si="14"/>
        <v>6</v>
      </c>
      <c r="F135" s="53">
        <v>35</v>
      </c>
      <c r="G135" s="55">
        <f t="shared" si="15"/>
        <v>17</v>
      </c>
      <c r="H135" s="54">
        <f t="shared" si="16"/>
        <v>595</v>
      </c>
      <c r="I135" s="29">
        <f t="shared" si="13"/>
        <v>385</v>
      </c>
    </row>
    <row r="136" spans="1:9" x14ac:dyDescent="0.25">
      <c r="A136" s="47">
        <v>45829</v>
      </c>
      <c r="B136" s="48" t="s">
        <v>8</v>
      </c>
      <c r="C136" s="48" t="s">
        <v>12</v>
      </c>
      <c r="D136" s="49" t="s">
        <v>13</v>
      </c>
      <c r="E136" s="50">
        <f t="shared" si="14"/>
        <v>0.9</v>
      </c>
      <c r="F136" s="49">
        <v>58</v>
      </c>
      <c r="G136" s="50">
        <f t="shared" si="15"/>
        <v>3</v>
      </c>
      <c r="H136" s="50">
        <f t="shared" si="16"/>
        <v>174</v>
      </c>
      <c r="I136" s="29">
        <f t="shared" si="13"/>
        <v>121.8</v>
      </c>
    </row>
    <row r="137" spans="1:9" x14ac:dyDescent="0.25">
      <c r="A137" s="51">
        <v>45829</v>
      </c>
      <c r="B137" s="52" t="s">
        <v>8</v>
      </c>
      <c r="C137" s="52" t="s">
        <v>20</v>
      </c>
      <c r="D137" s="53" t="s">
        <v>18</v>
      </c>
      <c r="E137" s="55">
        <f t="shared" si="14"/>
        <v>0.8</v>
      </c>
      <c r="F137" s="53">
        <v>38</v>
      </c>
      <c r="G137" s="55">
        <f t="shared" si="15"/>
        <v>4</v>
      </c>
      <c r="H137" s="54">
        <f t="shared" si="16"/>
        <v>152</v>
      </c>
      <c r="I137" s="29">
        <f t="shared" si="13"/>
        <v>121.6</v>
      </c>
    </row>
    <row r="138" spans="1:9" x14ac:dyDescent="0.25">
      <c r="A138" s="47">
        <v>45830</v>
      </c>
      <c r="B138" s="48" t="s">
        <v>16</v>
      </c>
      <c r="C138" s="48" t="s">
        <v>58</v>
      </c>
      <c r="D138" s="49" t="s">
        <v>9</v>
      </c>
      <c r="E138" s="50">
        <f t="shared" si="14"/>
        <v>5.5</v>
      </c>
      <c r="F138" s="49">
        <v>25</v>
      </c>
      <c r="G138" s="50">
        <f t="shared" si="15"/>
        <v>16</v>
      </c>
      <c r="H138" s="50">
        <f t="shared" si="16"/>
        <v>400</v>
      </c>
      <c r="I138" s="29">
        <f t="shared" si="13"/>
        <v>262.5</v>
      </c>
    </row>
    <row r="139" spans="1:9" x14ac:dyDescent="0.25">
      <c r="A139" s="51">
        <v>45830</v>
      </c>
      <c r="B139" s="52" t="s">
        <v>16</v>
      </c>
      <c r="C139" s="52" t="s">
        <v>10</v>
      </c>
      <c r="D139" s="53" t="s">
        <v>9</v>
      </c>
      <c r="E139" s="55">
        <f t="shared" si="14"/>
        <v>6</v>
      </c>
      <c r="F139" s="53">
        <v>20</v>
      </c>
      <c r="G139" s="55">
        <f t="shared" si="15"/>
        <v>17</v>
      </c>
      <c r="H139" s="54">
        <f t="shared" si="16"/>
        <v>340</v>
      </c>
      <c r="I139" s="29">
        <f t="shared" si="13"/>
        <v>220</v>
      </c>
    </row>
    <row r="140" spans="1:9" x14ac:dyDescent="0.25">
      <c r="A140" s="47">
        <v>45830</v>
      </c>
      <c r="B140" s="48" t="s">
        <v>16</v>
      </c>
      <c r="C140" s="48" t="s">
        <v>57</v>
      </c>
      <c r="D140" s="49" t="s">
        <v>13</v>
      </c>
      <c r="E140" s="50">
        <f t="shared" si="14"/>
        <v>2</v>
      </c>
      <c r="F140" s="49">
        <v>18</v>
      </c>
      <c r="G140" s="50">
        <f t="shared" si="15"/>
        <v>6</v>
      </c>
      <c r="H140" s="50">
        <f t="shared" si="16"/>
        <v>108</v>
      </c>
      <c r="I140" s="29">
        <f t="shared" si="13"/>
        <v>72</v>
      </c>
    </row>
    <row r="141" spans="1:9" x14ac:dyDescent="0.25">
      <c r="A141" s="51">
        <v>45830</v>
      </c>
      <c r="B141" s="52" t="s">
        <v>16</v>
      </c>
      <c r="C141" s="52" t="s">
        <v>17</v>
      </c>
      <c r="D141" s="53" t="s">
        <v>18</v>
      </c>
      <c r="E141" s="55">
        <f t="shared" si="14"/>
        <v>0.9</v>
      </c>
      <c r="F141" s="53">
        <v>22</v>
      </c>
      <c r="G141" s="55">
        <f t="shared" si="15"/>
        <v>4</v>
      </c>
      <c r="H141" s="54">
        <f t="shared" si="16"/>
        <v>88</v>
      </c>
      <c r="I141" s="29">
        <f t="shared" si="13"/>
        <v>68.2</v>
      </c>
    </row>
    <row r="142" spans="1:9" x14ac:dyDescent="0.25">
      <c r="A142" s="47">
        <v>45831</v>
      </c>
      <c r="B142" s="48" t="s">
        <v>11</v>
      </c>
      <c r="C142" s="48" t="s">
        <v>58</v>
      </c>
      <c r="D142" s="49" t="s">
        <v>9</v>
      </c>
      <c r="E142" s="50">
        <f t="shared" si="14"/>
        <v>5.5</v>
      </c>
      <c r="F142" s="49">
        <v>14</v>
      </c>
      <c r="G142" s="50">
        <f t="shared" si="15"/>
        <v>16</v>
      </c>
      <c r="H142" s="50">
        <f t="shared" si="16"/>
        <v>224</v>
      </c>
      <c r="I142" s="29">
        <f t="shared" si="13"/>
        <v>147</v>
      </c>
    </row>
    <row r="143" spans="1:9" x14ac:dyDescent="0.25">
      <c r="A143" s="51">
        <v>45831</v>
      </c>
      <c r="B143" s="52" t="s">
        <v>11</v>
      </c>
      <c r="C143" s="52" t="s">
        <v>59</v>
      </c>
      <c r="D143" s="53" t="s">
        <v>9</v>
      </c>
      <c r="E143" s="55">
        <f t="shared" si="14"/>
        <v>1.1000000000000001</v>
      </c>
      <c r="F143" s="53">
        <v>32</v>
      </c>
      <c r="G143" s="55">
        <f t="shared" si="15"/>
        <v>3.5</v>
      </c>
      <c r="H143" s="54">
        <f t="shared" si="16"/>
        <v>112</v>
      </c>
      <c r="I143" s="29">
        <f t="shared" si="13"/>
        <v>76.8</v>
      </c>
    </row>
    <row r="144" spans="1:9" x14ac:dyDescent="0.25">
      <c r="A144" s="47">
        <v>45831</v>
      </c>
      <c r="B144" s="48" t="s">
        <v>11</v>
      </c>
      <c r="C144" s="48" t="s">
        <v>14</v>
      </c>
      <c r="D144" s="49" t="s">
        <v>15</v>
      </c>
      <c r="E144" s="50">
        <f t="shared" si="14"/>
        <v>1.4</v>
      </c>
      <c r="F144" s="49">
        <v>15</v>
      </c>
      <c r="G144" s="50">
        <f t="shared" si="15"/>
        <v>4.5</v>
      </c>
      <c r="H144" s="50">
        <f t="shared" si="16"/>
        <v>67.5</v>
      </c>
      <c r="I144" s="29">
        <f t="shared" si="13"/>
        <v>46.5</v>
      </c>
    </row>
    <row r="145" spans="1:9" x14ac:dyDescent="0.25">
      <c r="A145" s="51">
        <v>45831</v>
      </c>
      <c r="B145" s="52" t="s">
        <v>11</v>
      </c>
      <c r="C145" s="52" t="s">
        <v>57</v>
      </c>
      <c r="D145" s="53" t="s">
        <v>13</v>
      </c>
      <c r="E145" s="55">
        <f t="shared" si="14"/>
        <v>2</v>
      </c>
      <c r="F145" s="53">
        <v>18</v>
      </c>
      <c r="G145" s="55">
        <f t="shared" si="15"/>
        <v>6</v>
      </c>
      <c r="H145" s="54">
        <f t="shared" si="16"/>
        <v>108</v>
      </c>
      <c r="I145" s="29">
        <f t="shared" si="13"/>
        <v>72</v>
      </c>
    </row>
    <row r="146" spans="1:9" x14ac:dyDescent="0.25">
      <c r="A146" s="47">
        <v>45833</v>
      </c>
      <c r="B146" s="48" t="s">
        <v>8</v>
      </c>
      <c r="C146" s="48" t="s">
        <v>58</v>
      </c>
      <c r="D146" s="49" t="s">
        <v>9</v>
      </c>
      <c r="E146" s="50">
        <f t="shared" si="14"/>
        <v>5.5</v>
      </c>
      <c r="F146" s="49">
        <v>41</v>
      </c>
      <c r="G146" s="50">
        <f t="shared" si="15"/>
        <v>16</v>
      </c>
      <c r="H146" s="50">
        <f t="shared" si="16"/>
        <v>656</v>
      </c>
      <c r="I146" s="29">
        <f t="shared" si="13"/>
        <v>430.5</v>
      </c>
    </row>
    <row r="147" spans="1:9" x14ac:dyDescent="0.25">
      <c r="A147" s="51">
        <v>45833</v>
      </c>
      <c r="B147" s="52" t="s">
        <v>8</v>
      </c>
      <c r="C147" s="52" t="s">
        <v>10</v>
      </c>
      <c r="D147" s="53" t="s">
        <v>9</v>
      </c>
      <c r="E147" s="55">
        <f t="shared" si="14"/>
        <v>6</v>
      </c>
      <c r="F147" s="53">
        <v>29</v>
      </c>
      <c r="G147" s="55">
        <f t="shared" si="15"/>
        <v>17</v>
      </c>
      <c r="H147" s="54">
        <f t="shared" si="16"/>
        <v>493</v>
      </c>
      <c r="I147" s="29">
        <f t="shared" si="13"/>
        <v>319</v>
      </c>
    </row>
    <row r="148" spans="1:9" x14ac:dyDescent="0.25">
      <c r="A148" s="47">
        <v>45833</v>
      </c>
      <c r="B148" s="48" t="s">
        <v>8</v>
      </c>
      <c r="C148" s="48" t="s">
        <v>12</v>
      </c>
      <c r="D148" s="49" t="s">
        <v>13</v>
      </c>
      <c r="E148" s="50">
        <f t="shared" si="14"/>
        <v>0.9</v>
      </c>
      <c r="F148" s="49">
        <v>52</v>
      </c>
      <c r="G148" s="50">
        <f t="shared" si="15"/>
        <v>3</v>
      </c>
      <c r="H148" s="50">
        <f t="shared" si="16"/>
        <v>156</v>
      </c>
      <c r="I148" s="29">
        <f t="shared" si="13"/>
        <v>109.19999999999999</v>
      </c>
    </row>
    <row r="149" spans="1:9" x14ac:dyDescent="0.25">
      <c r="A149" s="51">
        <v>45833</v>
      </c>
      <c r="B149" s="52" t="s">
        <v>8</v>
      </c>
      <c r="C149" s="52" t="s">
        <v>17</v>
      </c>
      <c r="D149" s="53" t="s">
        <v>18</v>
      </c>
      <c r="E149" s="55">
        <f t="shared" si="14"/>
        <v>0.9</v>
      </c>
      <c r="F149" s="53">
        <v>26</v>
      </c>
      <c r="G149" s="55">
        <f t="shared" si="15"/>
        <v>4</v>
      </c>
      <c r="H149" s="54">
        <f t="shared" si="16"/>
        <v>104</v>
      </c>
      <c r="I149" s="29">
        <f t="shared" si="13"/>
        <v>80.599999999999994</v>
      </c>
    </row>
    <row r="150" spans="1:9" x14ac:dyDescent="0.25">
      <c r="A150" s="47">
        <v>45834</v>
      </c>
      <c r="B150" s="48" t="s">
        <v>8</v>
      </c>
      <c r="C150" s="48" t="s">
        <v>58</v>
      </c>
      <c r="D150" s="49" t="s">
        <v>9</v>
      </c>
      <c r="E150" s="50">
        <f t="shared" si="14"/>
        <v>5.5</v>
      </c>
      <c r="F150" s="49">
        <v>38</v>
      </c>
      <c r="G150" s="50">
        <f t="shared" si="15"/>
        <v>16</v>
      </c>
      <c r="H150" s="50">
        <f t="shared" si="16"/>
        <v>608</v>
      </c>
      <c r="I150" s="29">
        <f t="shared" si="13"/>
        <v>399</v>
      </c>
    </row>
    <row r="151" spans="1:9" x14ac:dyDescent="0.25">
      <c r="A151" s="51">
        <v>45834</v>
      </c>
      <c r="B151" s="52" t="s">
        <v>8</v>
      </c>
      <c r="C151" s="52" t="s">
        <v>59</v>
      </c>
      <c r="D151" s="53" t="s">
        <v>9</v>
      </c>
      <c r="E151" s="55">
        <f t="shared" si="14"/>
        <v>1.1000000000000001</v>
      </c>
      <c r="F151" s="53">
        <v>24</v>
      </c>
      <c r="G151" s="55">
        <f t="shared" si="15"/>
        <v>3.5</v>
      </c>
      <c r="H151" s="54">
        <f t="shared" si="16"/>
        <v>84</v>
      </c>
      <c r="I151" s="29">
        <f t="shared" si="13"/>
        <v>57.599999999999994</v>
      </c>
    </row>
    <row r="152" spans="1:9" x14ac:dyDescent="0.25">
      <c r="A152" s="47">
        <v>45834</v>
      </c>
      <c r="B152" s="48" t="s">
        <v>8</v>
      </c>
      <c r="C152" s="48" t="s">
        <v>57</v>
      </c>
      <c r="D152" s="49" t="s">
        <v>13</v>
      </c>
      <c r="E152" s="50">
        <f t="shared" si="14"/>
        <v>2</v>
      </c>
      <c r="F152" s="49">
        <v>32</v>
      </c>
      <c r="G152" s="50">
        <f t="shared" si="15"/>
        <v>6</v>
      </c>
      <c r="H152" s="50">
        <f t="shared" si="16"/>
        <v>192</v>
      </c>
      <c r="I152" s="29">
        <f t="shared" si="13"/>
        <v>128</v>
      </c>
    </row>
    <row r="153" spans="1:9" x14ac:dyDescent="0.25">
      <c r="A153" s="51">
        <v>45834</v>
      </c>
      <c r="B153" s="52" t="s">
        <v>8</v>
      </c>
      <c r="C153" s="52" t="s">
        <v>20</v>
      </c>
      <c r="D153" s="53" t="s">
        <v>18</v>
      </c>
      <c r="E153" s="55">
        <f t="shared" si="14"/>
        <v>0.8</v>
      </c>
      <c r="F153" s="53">
        <v>36</v>
      </c>
      <c r="G153" s="55">
        <f t="shared" si="15"/>
        <v>4</v>
      </c>
      <c r="H153" s="54">
        <f t="shared" si="16"/>
        <v>144</v>
      </c>
      <c r="I153" s="29">
        <f t="shared" si="13"/>
        <v>115.2</v>
      </c>
    </row>
    <row r="154" spans="1:9" x14ac:dyDescent="0.25">
      <c r="A154" s="47">
        <v>45835</v>
      </c>
      <c r="B154" s="48" t="s">
        <v>11</v>
      </c>
      <c r="C154" s="48" t="s">
        <v>10</v>
      </c>
      <c r="D154" s="49" t="s">
        <v>9</v>
      </c>
      <c r="E154" s="50">
        <f t="shared" si="14"/>
        <v>6</v>
      </c>
      <c r="F154" s="49">
        <v>9</v>
      </c>
      <c r="G154" s="50">
        <f t="shared" si="15"/>
        <v>17</v>
      </c>
      <c r="H154" s="50">
        <f t="shared" si="16"/>
        <v>153</v>
      </c>
      <c r="I154" s="29">
        <f t="shared" si="13"/>
        <v>99</v>
      </c>
    </row>
    <row r="155" spans="1:9" x14ac:dyDescent="0.25">
      <c r="A155" s="51">
        <v>45835</v>
      </c>
      <c r="B155" s="52" t="s">
        <v>11</v>
      </c>
      <c r="C155" s="52" t="s">
        <v>12</v>
      </c>
      <c r="D155" s="53" t="s">
        <v>13</v>
      </c>
      <c r="E155" s="55">
        <f t="shared" si="14"/>
        <v>0.9</v>
      </c>
      <c r="F155" s="53">
        <v>38</v>
      </c>
      <c r="G155" s="55">
        <f t="shared" si="15"/>
        <v>3</v>
      </c>
      <c r="H155" s="54">
        <f t="shared" si="16"/>
        <v>114</v>
      </c>
      <c r="I155" s="29">
        <f t="shared" si="13"/>
        <v>79.8</v>
      </c>
    </row>
    <row r="156" spans="1:9" x14ac:dyDescent="0.25">
      <c r="A156" s="47">
        <v>45835</v>
      </c>
      <c r="B156" s="48" t="s">
        <v>11</v>
      </c>
      <c r="C156" s="48" t="s">
        <v>14</v>
      </c>
      <c r="D156" s="49" t="s">
        <v>15</v>
      </c>
      <c r="E156" s="50">
        <f t="shared" si="14"/>
        <v>1.4</v>
      </c>
      <c r="F156" s="49">
        <v>13</v>
      </c>
      <c r="G156" s="50">
        <f t="shared" si="15"/>
        <v>4.5</v>
      </c>
      <c r="H156" s="50">
        <f t="shared" si="16"/>
        <v>58.5</v>
      </c>
      <c r="I156" s="29">
        <f t="shared" si="13"/>
        <v>40.299999999999997</v>
      </c>
    </row>
    <row r="157" spans="1:9" x14ac:dyDescent="0.25">
      <c r="A157" s="51">
        <v>45835</v>
      </c>
      <c r="B157" s="52" t="s">
        <v>11</v>
      </c>
      <c r="C157" s="52" t="s">
        <v>20</v>
      </c>
      <c r="D157" s="53" t="s">
        <v>18</v>
      </c>
      <c r="E157" s="55">
        <f t="shared" si="14"/>
        <v>0.8</v>
      </c>
      <c r="F157" s="53">
        <v>22</v>
      </c>
      <c r="G157" s="55">
        <f t="shared" si="15"/>
        <v>4</v>
      </c>
      <c r="H157" s="54">
        <f t="shared" si="16"/>
        <v>88</v>
      </c>
      <c r="I157" s="29">
        <f t="shared" si="13"/>
        <v>70.400000000000006</v>
      </c>
    </row>
    <row r="158" spans="1:9" x14ac:dyDescent="0.25">
      <c r="A158" s="47">
        <v>45836</v>
      </c>
      <c r="B158" s="48" t="s">
        <v>8</v>
      </c>
      <c r="C158" s="48" t="s">
        <v>58</v>
      </c>
      <c r="D158" s="49" t="s">
        <v>9</v>
      </c>
      <c r="E158" s="50">
        <f t="shared" ref="E158:E189" si="17">IF($C158="Poulet curry",$L$2,IF($C158="Bowl Yassa",$L$3,IF($C158="Mikate (beignet)",$L$4,IF($C158="Riz blanc",$L$5,IF($C158="Samoussas (x4)",$L$6,IF($C158="Banane plantain",$L$7,IF($C158="Jus gingembre",$L$8,IF($C158="Bissap maison",$L$9,0))))))))</f>
        <v>5.5</v>
      </c>
      <c r="F158" s="49">
        <v>43</v>
      </c>
      <c r="G158" s="50">
        <f t="shared" ref="G158:G189" si="18">IF($C158="Poulet curry",$M$2,IF($C158="Bowl Yassa",$M$3,IF($C158="Mikate (beignet)",$M$4,IF($C158="Riz blanc",$M$5,IF($C158="Samoussas (x4)",$M$6,IF($C158="Banane plantain",$M$7,IF($C158="Jus gingembre",$M$8,IF($C158="Bissap maison",$M$9,0))))))))</f>
        <v>16</v>
      </c>
      <c r="H158" s="50">
        <f t="shared" si="16"/>
        <v>688</v>
      </c>
      <c r="I158" s="29">
        <f t="shared" si="13"/>
        <v>451.5</v>
      </c>
    </row>
    <row r="159" spans="1:9" x14ac:dyDescent="0.25">
      <c r="A159" s="51">
        <v>45836</v>
      </c>
      <c r="B159" s="52" t="s">
        <v>8</v>
      </c>
      <c r="C159" s="52" t="s">
        <v>10</v>
      </c>
      <c r="D159" s="53" t="s">
        <v>9</v>
      </c>
      <c r="E159" s="55">
        <f t="shared" si="17"/>
        <v>6</v>
      </c>
      <c r="F159" s="53">
        <v>33</v>
      </c>
      <c r="G159" s="55">
        <f t="shared" si="18"/>
        <v>17</v>
      </c>
      <c r="H159" s="54">
        <f t="shared" si="16"/>
        <v>561</v>
      </c>
      <c r="I159" s="29">
        <f t="shared" si="13"/>
        <v>363</v>
      </c>
    </row>
    <row r="160" spans="1:9" x14ac:dyDescent="0.25">
      <c r="A160" s="47">
        <v>45836</v>
      </c>
      <c r="B160" s="48" t="s">
        <v>8</v>
      </c>
      <c r="C160" s="48" t="s">
        <v>12</v>
      </c>
      <c r="D160" s="49" t="s">
        <v>13</v>
      </c>
      <c r="E160" s="50">
        <f t="shared" si="17"/>
        <v>0.9</v>
      </c>
      <c r="F160" s="49">
        <v>56</v>
      </c>
      <c r="G160" s="50">
        <f t="shared" si="18"/>
        <v>3</v>
      </c>
      <c r="H160" s="50">
        <f t="shared" si="16"/>
        <v>168</v>
      </c>
      <c r="I160" s="29">
        <f t="shared" si="13"/>
        <v>117.6</v>
      </c>
    </row>
    <row r="161" spans="1:9" x14ac:dyDescent="0.25">
      <c r="A161" s="51">
        <v>45836</v>
      </c>
      <c r="B161" s="52" t="s">
        <v>8</v>
      </c>
      <c r="C161" s="52" t="s">
        <v>17</v>
      </c>
      <c r="D161" s="53" t="s">
        <v>18</v>
      </c>
      <c r="E161" s="55">
        <f t="shared" si="17"/>
        <v>0.9</v>
      </c>
      <c r="F161" s="53">
        <v>29</v>
      </c>
      <c r="G161" s="55">
        <f t="shared" si="18"/>
        <v>4</v>
      </c>
      <c r="H161" s="54">
        <f t="shared" si="16"/>
        <v>116</v>
      </c>
      <c r="I161" s="29">
        <f t="shared" si="13"/>
        <v>89.9</v>
      </c>
    </row>
    <row r="162" spans="1:9" x14ac:dyDescent="0.25">
      <c r="A162" s="47">
        <v>45837</v>
      </c>
      <c r="B162" s="48" t="s">
        <v>16</v>
      </c>
      <c r="C162" s="48" t="s">
        <v>58</v>
      </c>
      <c r="D162" s="49" t="s">
        <v>9</v>
      </c>
      <c r="E162" s="50">
        <f t="shared" si="17"/>
        <v>5.5</v>
      </c>
      <c r="F162" s="49">
        <v>20</v>
      </c>
      <c r="G162" s="50">
        <f t="shared" si="18"/>
        <v>16</v>
      </c>
      <c r="H162" s="50">
        <f t="shared" si="16"/>
        <v>320</v>
      </c>
      <c r="I162" s="29">
        <f t="shared" si="13"/>
        <v>210</v>
      </c>
    </row>
    <row r="163" spans="1:9" x14ac:dyDescent="0.25">
      <c r="A163" s="51">
        <v>45837</v>
      </c>
      <c r="B163" s="52" t="s">
        <v>16</v>
      </c>
      <c r="C163" s="52" t="s">
        <v>10</v>
      </c>
      <c r="D163" s="53" t="s">
        <v>9</v>
      </c>
      <c r="E163" s="55">
        <f t="shared" si="17"/>
        <v>6</v>
      </c>
      <c r="F163" s="53">
        <v>16</v>
      </c>
      <c r="G163" s="55">
        <f t="shared" si="18"/>
        <v>17</v>
      </c>
      <c r="H163" s="54">
        <f t="shared" si="16"/>
        <v>272</v>
      </c>
      <c r="I163" s="29">
        <f t="shared" si="13"/>
        <v>176</v>
      </c>
    </row>
    <row r="164" spans="1:9" x14ac:dyDescent="0.25">
      <c r="A164" s="47">
        <v>45837</v>
      </c>
      <c r="B164" s="48" t="s">
        <v>16</v>
      </c>
      <c r="C164" s="48" t="s">
        <v>12</v>
      </c>
      <c r="D164" s="49" t="s">
        <v>13</v>
      </c>
      <c r="E164" s="50">
        <f t="shared" si="17"/>
        <v>0.9</v>
      </c>
      <c r="F164" s="49">
        <v>28</v>
      </c>
      <c r="G164" s="50">
        <f t="shared" si="18"/>
        <v>3</v>
      </c>
      <c r="H164" s="50">
        <f t="shared" si="16"/>
        <v>84</v>
      </c>
      <c r="I164" s="29">
        <f t="shared" si="13"/>
        <v>58.8</v>
      </c>
    </row>
    <row r="165" spans="1:9" x14ac:dyDescent="0.25">
      <c r="A165" s="51">
        <v>45837</v>
      </c>
      <c r="B165" s="52" t="s">
        <v>16</v>
      </c>
      <c r="C165" s="52" t="s">
        <v>14</v>
      </c>
      <c r="D165" s="53" t="s">
        <v>15</v>
      </c>
      <c r="E165" s="55">
        <f t="shared" si="17"/>
        <v>1.4</v>
      </c>
      <c r="F165" s="53">
        <v>12</v>
      </c>
      <c r="G165" s="55">
        <f t="shared" si="18"/>
        <v>4.5</v>
      </c>
      <c r="H165" s="54">
        <f t="shared" si="16"/>
        <v>54</v>
      </c>
      <c r="I165" s="29">
        <f t="shared" si="13"/>
        <v>37.200000000000003</v>
      </c>
    </row>
    <row r="166" spans="1:9" x14ac:dyDescent="0.25">
      <c r="A166" s="47">
        <v>45838</v>
      </c>
      <c r="B166" s="48" t="s">
        <v>11</v>
      </c>
      <c r="C166" s="48" t="s">
        <v>58</v>
      </c>
      <c r="D166" s="49" t="s">
        <v>9</v>
      </c>
      <c r="E166" s="50">
        <f t="shared" si="17"/>
        <v>5.5</v>
      </c>
      <c r="F166" s="49">
        <v>16</v>
      </c>
      <c r="G166" s="50">
        <f t="shared" si="18"/>
        <v>16</v>
      </c>
      <c r="H166" s="50">
        <f t="shared" si="16"/>
        <v>256</v>
      </c>
      <c r="I166" s="29">
        <f t="shared" si="13"/>
        <v>168</v>
      </c>
    </row>
    <row r="167" spans="1:9" x14ac:dyDescent="0.25">
      <c r="A167" s="51">
        <v>45838</v>
      </c>
      <c r="B167" s="52" t="s">
        <v>11</v>
      </c>
      <c r="C167" s="52" t="s">
        <v>59</v>
      </c>
      <c r="D167" s="53" t="s">
        <v>9</v>
      </c>
      <c r="E167" s="55">
        <f t="shared" si="17"/>
        <v>1.1000000000000001</v>
      </c>
      <c r="F167" s="53">
        <v>29</v>
      </c>
      <c r="G167" s="55">
        <f t="shared" si="18"/>
        <v>3.5</v>
      </c>
      <c r="H167" s="54">
        <f t="shared" si="16"/>
        <v>101.5</v>
      </c>
      <c r="I167" s="29">
        <f t="shared" si="13"/>
        <v>69.599999999999994</v>
      </c>
    </row>
    <row r="168" spans="1:9" x14ac:dyDescent="0.25">
      <c r="A168" s="47">
        <v>45838</v>
      </c>
      <c r="B168" s="48" t="s">
        <v>11</v>
      </c>
      <c r="C168" s="48" t="s">
        <v>57</v>
      </c>
      <c r="D168" s="49" t="s">
        <v>13</v>
      </c>
      <c r="E168" s="50">
        <f t="shared" si="17"/>
        <v>2</v>
      </c>
      <c r="F168" s="49">
        <v>19</v>
      </c>
      <c r="G168" s="50">
        <f t="shared" si="18"/>
        <v>6</v>
      </c>
      <c r="H168" s="50">
        <f t="shared" si="16"/>
        <v>114</v>
      </c>
      <c r="I168" s="29">
        <f t="shared" si="13"/>
        <v>76</v>
      </c>
    </row>
    <row r="169" spans="1:9" x14ac:dyDescent="0.25">
      <c r="A169" s="51">
        <v>45838</v>
      </c>
      <c r="B169" s="52" t="s">
        <v>11</v>
      </c>
      <c r="C169" s="52" t="s">
        <v>20</v>
      </c>
      <c r="D169" s="53" t="s">
        <v>18</v>
      </c>
      <c r="E169" s="55">
        <f t="shared" si="17"/>
        <v>0.8</v>
      </c>
      <c r="F169" s="53">
        <v>24</v>
      </c>
      <c r="G169" s="55">
        <f t="shared" si="18"/>
        <v>4</v>
      </c>
      <c r="H169" s="54">
        <f t="shared" si="16"/>
        <v>96</v>
      </c>
      <c r="I169" s="29">
        <f t="shared" si="13"/>
        <v>76.8</v>
      </c>
    </row>
    <row r="170" spans="1:9" x14ac:dyDescent="0.25">
      <c r="A170" s="47">
        <v>45840</v>
      </c>
      <c r="B170" s="48" t="s">
        <v>8</v>
      </c>
      <c r="C170" s="48" t="s">
        <v>58</v>
      </c>
      <c r="D170" s="49" t="s">
        <v>9</v>
      </c>
      <c r="E170" s="50">
        <f t="shared" si="17"/>
        <v>5.5</v>
      </c>
      <c r="F170" s="49">
        <v>40</v>
      </c>
      <c r="G170" s="50">
        <f t="shared" si="18"/>
        <v>16</v>
      </c>
      <c r="H170" s="50">
        <f t="shared" si="16"/>
        <v>640</v>
      </c>
      <c r="I170" s="29">
        <f t="shared" si="13"/>
        <v>420</v>
      </c>
    </row>
    <row r="171" spans="1:9" x14ac:dyDescent="0.25">
      <c r="A171" s="51">
        <v>45840</v>
      </c>
      <c r="B171" s="52" t="s">
        <v>8</v>
      </c>
      <c r="C171" s="52" t="s">
        <v>10</v>
      </c>
      <c r="D171" s="53" t="s">
        <v>9</v>
      </c>
      <c r="E171" s="55">
        <f t="shared" si="17"/>
        <v>6</v>
      </c>
      <c r="F171" s="53">
        <v>31</v>
      </c>
      <c r="G171" s="55">
        <f t="shared" si="18"/>
        <v>17</v>
      </c>
      <c r="H171" s="54">
        <f t="shared" si="16"/>
        <v>527</v>
      </c>
      <c r="I171" s="29">
        <f t="shared" si="13"/>
        <v>341</v>
      </c>
    </row>
    <row r="172" spans="1:9" x14ac:dyDescent="0.25">
      <c r="A172" s="47">
        <v>45840</v>
      </c>
      <c r="B172" s="48" t="s">
        <v>8</v>
      </c>
      <c r="C172" s="48" t="s">
        <v>12</v>
      </c>
      <c r="D172" s="49" t="s">
        <v>13</v>
      </c>
      <c r="E172" s="50">
        <f t="shared" si="17"/>
        <v>0.9</v>
      </c>
      <c r="F172" s="49">
        <v>54</v>
      </c>
      <c r="G172" s="50">
        <f t="shared" si="18"/>
        <v>3</v>
      </c>
      <c r="H172" s="50">
        <f t="shared" si="16"/>
        <v>162</v>
      </c>
      <c r="I172" s="29">
        <f t="shared" si="13"/>
        <v>113.4</v>
      </c>
    </row>
    <row r="173" spans="1:9" x14ac:dyDescent="0.25">
      <c r="A173" s="51">
        <v>45840</v>
      </c>
      <c r="B173" s="52" t="s">
        <v>8</v>
      </c>
      <c r="C173" s="52" t="s">
        <v>14</v>
      </c>
      <c r="D173" s="53" t="s">
        <v>15</v>
      </c>
      <c r="E173" s="55">
        <f t="shared" si="17"/>
        <v>1.4</v>
      </c>
      <c r="F173" s="53">
        <v>22</v>
      </c>
      <c r="G173" s="55">
        <f t="shared" si="18"/>
        <v>4.5</v>
      </c>
      <c r="H173" s="54">
        <f t="shared" si="16"/>
        <v>99</v>
      </c>
      <c r="I173" s="29">
        <f t="shared" si="13"/>
        <v>68.2</v>
      </c>
    </row>
    <row r="174" spans="1:9" x14ac:dyDescent="0.25">
      <c r="A174" s="47">
        <v>45841</v>
      </c>
      <c r="B174" s="48" t="s">
        <v>8</v>
      </c>
      <c r="C174" s="48" t="s">
        <v>58</v>
      </c>
      <c r="D174" s="49" t="s">
        <v>9</v>
      </c>
      <c r="E174" s="50">
        <f t="shared" si="17"/>
        <v>5.5</v>
      </c>
      <c r="F174" s="49">
        <v>37</v>
      </c>
      <c r="G174" s="50">
        <f t="shared" si="18"/>
        <v>16</v>
      </c>
      <c r="H174" s="50">
        <f t="shared" si="16"/>
        <v>592</v>
      </c>
      <c r="I174" s="29">
        <f t="shared" si="13"/>
        <v>388.5</v>
      </c>
    </row>
    <row r="175" spans="1:9" x14ac:dyDescent="0.25">
      <c r="A175" s="51">
        <v>45841</v>
      </c>
      <c r="B175" s="52" t="s">
        <v>8</v>
      </c>
      <c r="C175" s="52" t="s">
        <v>59</v>
      </c>
      <c r="D175" s="53" t="s">
        <v>9</v>
      </c>
      <c r="E175" s="55">
        <f t="shared" si="17"/>
        <v>1.1000000000000001</v>
      </c>
      <c r="F175" s="53">
        <v>28</v>
      </c>
      <c r="G175" s="55">
        <f t="shared" si="18"/>
        <v>3.5</v>
      </c>
      <c r="H175" s="54">
        <f t="shared" si="16"/>
        <v>98</v>
      </c>
      <c r="I175" s="29">
        <f t="shared" si="13"/>
        <v>67.199999999999989</v>
      </c>
    </row>
    <row r="176" spans="1:9" x14ac:dyDescent="0.25">
      <c r="A176" s="47">
        <v>45841</v>
      </c>
      <c r="B176" s="48" t="s">
        <v>8</v>
      </c>
      <c r="C176" s="48" t="s">
        <v>57</v>
      </c>
      <c r="D176" s="49" t="s">
        <v>13</v>
      </c>
      <c r="E176" s="50">
        <f t="shared" si="17"/>
        <v>2</v>
      </c>
      <c r="F176" s="49">
        <v>34</v>
      </c>
      <c r="G176" s="50">
        <f t="shared" si="18"/>
        <v>6</v>
      </c>
      <c r="H176" s="50">
        <f t="shared" si="16"/>
        <v>204</v>
      </c>
      <c r="I176" s="29">
        <f t="shared" si="13"/>
        <v>136</v>
      </c>
    </row>
    <row r="177" spans="1:9" x14ac:dyDescent="0.25">
      <c r="A177" s="51">
        <v>45841</v>
      </c>
      <c r="B177" s="52" t="s">
        <v>8</v>
      </c>
      <c r="C177" s="52" t="s">
        <v>17</v>
      </c>
      <c r="D177" s="53" t="s">
        <v>18</v>
      </c>
      <c r="E177" s="55">
        <f t="shared" si="17"/>
        <v>0.9</v>
      </c>
      <c r="F177" s="53">
        <v>27</v>
      </c>
      <c r="G177" s="55">
        <f t="shared" si="18"/>
        <v>4</v>
      </c>
      <c r="H177" s="54">
        <f t="shared" si="16"/>
        <v>108</v>
      </c>
      <c r="I177" s="29">
        <f t="shared" si="13"/>
        <v>83.7</v>
      </c>
    </row>
    <row r="178" spans="1:9" x14ac:dyDescent="0.25">
      <c r="A178" s="47">
        <v>45842</v>
      </c>
      <c r="B178" s="48" t="s">
        <v>11</v>
      </c>
      <c r="C178" s="48" t="s">
        <v>10</v>
      </c>
      <c r="D178" s="49" t="s">
        <v>9</v>
      </c>
      <c r="E178" s="50">
        <f t="shared" si="17"/>
        <v>6</v>
      </c>
      <c r="F178" s="49">
        <v>10</v>
      </c>
      <c r="G178" s="50">
        <f t="shared" si="18"/>
        <v>17</v>
      </c>
      <c r="H178" s="50">
        <f t="shared" si="16"/>
        <v>170</v>
      </c>
      <c r="I178" s="29">
        <f t="shared" si="13"/>
        <v>110</v>
      </c>
    </row>
    <row r="179" spans="1:9" x14ac:dyDescent="0.25">
      <c r="A179" s="51">
        <v>45842</v>
      </c>
      <c r="B179" s="52" t="s">
        <v>11</v>
      </c>
      <c r="C179" s="52" t="s">
        <v>12</v>
      </c>
      <c r="D179" s="53" t="s">
        <v>13</v>
      </c>
      <c r="E179" s="55">
        <f t="shared" si="17"/>
        <v>0.9</v>
      </c>
      <c r="F179" s="53">
        <v>36</v>
      </c>
      <c r="G179" s="55">
        <f t="shared" si="18"/>
        <v>3</v>
      </c>
      <c r="H179" s="54">
        <f t="shared" si="16"/>
        <v>108</v>
      </c>
      <c r="I179" s="29">
        <f t="shared" si="13"/>
        <v>75.599999999999994</v>
      </c>
    </row>
    <row r="180" spans="1:9" x14ac:dyDescent="0.25">
      <c r="A180" s="47">
        <v>45842</v>
      </c>
      <c r="B180" s="48" t="s">
        <v>11</v>
      </c>
      <c r="C180" s="48" t="s">
        <v>14</v>
      </c>
      <c r="D180" s="49" t="s">
        <v>15</v>
      </c>
      <c r="E180" s="50">
        <f t="shared" si="17"/>
        <v>1.4</v>
      </c>
      <c r="F180" s="49">
        <v>14</v>
      </c>
      <c r="G180" s="50">
        <f t="shared" si="18"/>
        <v>4.5</v>
      </c>
      <c r="H180" s="50">
        <f t="shared" si="16"/>
        <v>63</v>
      </c>
      <c r="I180" s="29">
        <f t="shared" si="13"/>
        <v>43.400000000000006</v>
      </c>
    </row>
    <row r="181" spans="1:9" x14ac:dyDescent="0.25">
      <c r="A181" s="51">
        <v>45842</v>
      </c>
      <c r="B181" s="52" t="s">
        <v>11</v>
      </c>
      <c r="C181" s="52" t="s">
        <v>20</v>
      </c>
      <c r="D181" s="53" t="s">
        <v>18</v>
      </c>
      <c r="E181" s="55">
        <f t="shared" si="17"/>
        <v>0.8</v>
      </c>
      <c r="F181" s="53">
        <v>21</v>
      </c>
      <c r="G181" s="55">
        <f t="shared" si="18"/>
        <v>4</v>
      </c>
      <c r="H181" s="54">
        <f t="shared" si="16"/>
        <v>84</v>
      </c>
      <c r="I181" s="29">
        <f t="shared" si="13"/>
        <v>67.2</v>
      </c>
    </row>
    <row r="182" spans="1:9" x14ac:dyDescent="0.25">
      <c r="A182" s="47">
        <v>45843</v>
      </c>
      <c r="B182" s="48" t="s">
        <v>8</v>
      </c>
      <c r="C182" s="48" t="s">
        <v>58</v>
      </c>
      <c r="D182" s="49" t="s">
        <v>9</v>
      </c>
      <c r="E182" s="50">
        <f t="shared" si="17"/>
        <v>5.5</v>
      </c>
      <c r="F182" s="49">
        <v>42</v>
      </c>
      <c r="G182" s="50">
        <f t="shared" si="18"/>
        <v>16</v>
      </c>
      <c r="H182" s="50">
        <f t="shared" si="16"/>
        <v>672</v>
      </c>
      <c r="I182" s="29">
        <f t="shared" si="13"/>
        <v>441</v>
      </c>
    </row>
    <row r="183" spans="1:9" x14ac:dyDescent="0.25">
      <c r="A183" s="51">
        <v>45843</v>
      </c>
      <c r="B183" s="52" t="s">
        <v>8</v>
      </c>
      <c r="C183" s="52" t="s">
        <v>10</v>
      </c>
      <c r="D183" s="53" t="s">
        <v>9</v>
      </c>
      <c r="E183" s="55">
        <f t="shared" si="17"/>
        <v>6</v>
      </c>
      <c r="F183" s="53">
        <v>34</v>
      </c>
      <c r="G183" s="55">
        <f t="shared" si="18"/>
        <v>17</v>
      </c>
      <c r="H183" s="54">
        <f t="shared" si="16"/>
        <v>578</v>
      </c>
      <c r="I183" s="29">
        <f t="shared" si="13"/>
        <v>374</v>
      </c>
    </row>
    <row r="184" spans="1:9" x14ac:dyDescent="0.25">
      <c r="A184" s="47">
        <v>45843</v>
      </c>
      <c r="B184" s="48" t="s">
        <v>8</v>
      </c>
      <c r="C184" s="48" t="s">
        <v>12</v>
      </c>
      <c r="D184" s="49" t="s">
        <v>13</v>
      </c>
      <c r="E184" s="50">
        <f t="shared" si="17"/>
        <v>0.9</v>
      </c>
      <c r="F184" s="49">
        <v>60</v>
      </c>
      <c r="G184" s="50">
        <f t="shared" si="18"/>
        <v>3</v>
      </c>
      <c r="H184" s="50">
        <f t="shared" si="16"/>
        <v>180</v>
      </c>
      <c r="I184" s="29">
        <f t="shared" si="13"/>
        <v>126</v>
      </c>
    </row>
    <row r="185" spans="1:9" x14ac:dyDescent="0.25">
      <c r="A185" s="51">
        <v>45843</v>
      </c>
      <c r="B185" s="52" t="s">
        <v>8</v>
      </c>
      <c r="C185" s="52" t="s">
        <v>20</v>
      </c>
      <c r="D185" s="53" t="s">
        <v>18</v>
      </c>
      <c r="E185" s="55">
        <f t="shared" si="17"/>
        <v>0.8</v>
      </c>
      <c r="F185" s="53">
        <v>38</v>
      </c>
      <c r="G185" s="55">
        <f t="shared" si="18"/>
        <v>4</v>
      </c>
      <c r="H185" s="54">
        <f t="shared" si="16"/>
        <v>152</v>
      </c>
      <c r="I185" s="29">
        <f t="shared" si="13"/>
        <v>121.6</v>
      </c>
    </row>
    <row r="186" spans="1:9" x14ac:dyDescent="0.25">
      <c r="A186" s="47">
        <v>45844</v>
      </c>
      <c r="B186" s="48" t="s">
        <v>8</v>
      </c>
      <c r="C186" s="48" t="s">
        <v>58</v>
      </c>
      <c r="D186" s="49" t="s">
        <v>9</v>
      </c>
      <c r="E186" s="50">
        <f t="shared" si="17"/>
        <v>5.5</v>
      </c>
      <c r="F186" s="49">
        <v>45</v>
      </c>
      <c r="G186" s="50">
        <f t="shared" si="18"/>
        <v>16</v>
      </c>
      <c r="H186" s="50">
        <f t="shared" si="16"/>
        <v>720</v>
      </c>
      <c r="I186" s="29">
        <f t="shared" si="13"/>
        <v>472.5</v>
      </c>
    </row>
    <row r="187" spans="1:9" x14ac:dyDescent="0.25">
      <c r="A187" s="51">
        <v>45844</v>
      </c>
      <c r="B187" s="52" t="s">
        <v>8</v>
      </c>
      <c r="C187" s="52" t="s">
        <v>10</v>
      </c>
      <c r="D187" s="53" t="s">
        <v>9</v>
      </c>
      <c r="E187" s="55">
        <f t="shared" si="17"/>
        <v>6</v>
      </c>
      <c r="F187" s="53">
        <v>36</v>
      </c>
      <c r="G187" s="55">
        <f t="shared" si="18"/>
        <v>17</v>
      </c>
      <c r="H187" s="54">
        <f t="shared" si="16"/>
        <v>612</v>
      </c>
      <c r="I187" s="29">
        <f t="shared" si="13"/>
        <v>396</v>
      </c>
    </row>
    <row r="188" spans="1:9" x14ac:dyDescent="0.25">
      <c r="A188" s="47">
        <v>45844</v>
      </c>
      <c r="B188" s="48" t="s">
        <v>8</v>
      </c>
      <c r="C188" s="48" t="s">
        <v>57</v>
      </c>
      <c r="D188" s="49" t="s">
        <v>13</v>
      </c>
      <c r="E188" s="50">
        <f t="shared" si="17"/>
        <v>2</v>
      </c>
      <c r="F188" s="49">
        <v>30</v>
      </c>
      <c r="G188" s="50">
        <f t="shared" si="18"/>
        <v>6</v>
      </c>
      <c r="H188" s="50">
        <f t="shared" si="16"/>
        <v>180</v>
      </c>
      <c r="I188" s="29">
        <f t="shared" si="13"/>
        <v>120</v>
      </c>
    </row>
    <row r="189" spans="1:9" x14ac:dyDescent="0.25">
      <c r="A189" s="51">
        <v>45844</v>
      </c>
      <c r="B189" s="52" t="s">
        <v>8</v>
      </c>
      <c r="C189" s="52" t="s">
        <v>17</v>
      </c>
      <c r="D189" s="53" t="s">
        <v>18</v>
      </c>
      <c r="E189" s="55">
        <f t="shared" si="17"/>
        <v>0.9</v>
      </c>
      <c r="F189" s="53">
        <v>32</v>
      </c>
      <c r="G189" s="55">
        <f t="shared" si="18"/>
        <v>4</v>
      </c>
      <c r="H189" s="54">
        <f t="shared" si="16"/>
        <v>128</v>
      </c>
      <c r="I189" s="29">
        <f t="shared" ref="I189" si="19">H189-(E189*F189)</f>
        <v>99.2</v>
      </c>
    </row>
    <row r="190" spans="1:9" x14ac:dyDescent="0.25">
      <c r="A190" s="8"/>
      <c r="B190" s="70" t="s">
        <v>21</v>
      </c>
      <c r="C190" s="70"/>
      <c r="D190" s="70"/>
      <c r="E190" s="32"/>
      <c r="F190" s="9">
        <f>SUM(F2:F189)</f>
        <v>5249</v>
      </c>
      <c r="H190" s="10">
        <f>SUM(H2:H189)</f>
        <v>44117.5</v>
      </c>
    </row>
  </sheetData>
  <mergeCells count="1">
    <mergeCell ref="B190:D190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24"/>
  <sheetViews>
    <sheetView topLeftCell="A7" zoomScale="94" zoomScaleNormal="100" workbookViewId="0">
      <selection activeCell="D17" sqref="D17"/>
    </sheetView>
  </sheetViews>
  <sheetFormatPr baseColWidth="10" defaultColWidth="8.7109375" defaultRowHeight="15" x14ac:dyDescent="0.25"/>
  <cols>
    <col min="1" max="1" width="26" customWidth="1"/>
    <col min="2" max="3" width="16" customWidth="1"/>
    <col min="4" max="4" width="13.140625" customWidth="1"/>
    <col min="5" max="5" width="39.42578125" bestFit="1" customWidth="1"/>
    <col min="6" max="6" width="11.42578125" bestFit="1" customWidth="1"/>
    <col min="7" max="7" width="18" customWidth="1"/>
    <col min="8" max="8" width="20" customWidth="1"/>
    <col min="10" max="10" width="14.5703125" bestFit="1" customWidth="1"/>
  </cols>
  <sheetData>
    <row r="1" spans="1:9" ht="36" customHeight="1" x14ac:dyDescent="0.25">
      <c r="A1" s="68" t="s">
        <v>22</v>
      </c>
      <c r="B1" s="68"/>
      <c r="C1" s="68"/>
      <c r="D1" s="68"/>
      <c r="E1" s="68"/>
      <c r="F1" s="68"/>
      <c r="G1" s="68"/>
      <c r="H1" s="68"/>
    </row>
    <row r="3" spans="1:9" ht="21.75" customHeight="1" x14ac:dyDescent="0.25">
      <c r="A3" s="11" t="s">
        <v>23</v>
      </c>
      <c r="B3" s="11" t="s">
        <v>24</v>
      </c>
      <c r="C3" s="11" t="s">
        <v>25</v>
      </c>
      <c r="D3" s="43"/>
      <c r="E3" s="43"/>
    </row>
    <row r="4" spans="1:9" ht="39.75" customHeight="1" x14ac:dyDescent="0.25">
      <c r="A4" s="12">
        <f>'Base de ventes'!H190</f>
        <v>44117.5</v>
      </c>
      <c r="B4" s="13">
        <f>COUNTA('Base de ventes'!A2:A189)</f>
        <v>188</v>
      </c>
      <c r="C4" s="12">
        <f>A4/B4</f>
        <v>234.66755319148936</v>
      </c>
      <c r="D4" s="44"/>
      <c r="E4" s="45"/>
    </row>
    <row r="6" spans="1:9" x14ac:dyDescent="0.25">
      <c r="A6" s="69" t="s">
        <v>26</v>
      </c>
      <c r="B6" s="69"/>
      <c r="C6" s="69"/>
      <c r="E6" s="69" t="s">
        <v>27</v>
      </c>
      <c r="F6" s="69"/>
      <c r="G6" s="69"/>
      <c r="H6" s="69"/>
    </row>
    <row r="7" spans="1:9" x14ac:dyDescent="0.25">
      <c r="A7" s="14" t="s">
        <v>2</v>
      </c>
      <c r="B7" s="14" t="s">
        <v>28</v>
      </c>
      <c r="C7" s="14" t="s">
        <v>29</v>
      </c>
      <c r="E7" s="14" t="s">
        <v>30</v>
      </c>
      <c r="F7" s="14" t="s">
        <v>31</v>
      </c>
      <c r="G7" s="14" t="s">
        <v>28</v>
      </c>
      <c r="H7" s="14" t="s">
        <v>32</v>
      </c>
    </row>
    <row r="8" spans="1:9" x14ac:dyDescent="0.25">
      <c r="A8" s="15" t="s">
        <v>58</v>
      </c>
      <c r="B8" s="16" cm="1">
        <f t="array" ref="B8">funcCA(A8)</f>
        <v>16192</v>
      </c>
      <c r="C8" s="17">
        <f>B8/$A$4</f>
        <v>0.3670198900663002</v>
      </c>
      <c r="E8" s="15" t="s">
        <v>8</v>
      </c>
      <c r="F8" s="18" cm="1">
        <f t="array" ref="F8">funcNBjours1(E8)</f>
        <v>23</v>
      </c>
      <c r="G8" s="29" cm="1">
        <f t="array" ref="G8">funcCAévénement(E8)</f>
        <v>24516</v>
      </c>
      <c r="H8" s="16">
        <f>G8/F8</f>
        <v>1065.9130434782608</v>
      </c>
    </row>
    <row r="9" spans="1:9" x14ac:dyDescent="0.25">
      <c r="A9" s="19" t="s">
        <v>10</v>
      </c>
      <c r="B9" s="57" cm="1">
        <f t="array" ref="B9">funcCA(A9)</f>
        <v>14773</v>
      </c>
      <c r="C9" s="56">
        <f>B9/$A$4</f>
        <v>0.33485578285260953</v>
      </c>
      <c r="E9" s="19" t="s">
        <v>11</v>
      </c>
      <c r="F9" s="18" cm="1">
        <f t="array" ref="F9">funcNBjours1(E9)</f>
        <v>16</v>
      </c>
      <c r="G9" s="29" cm="1">
        <f t="array" ref="G9">funcCAévénement(E9)</f>
        <v>7266.5</v>
      </c>
      <c r="H9" s="16">
        <f>G9/F9</f>
        <v>454.15625</v>
      </c>
    </row>
    <row r="10" spans="1:9" x14ac:dyDescent="0.25">
      <c r="A10" s="15" t="s">
        <v>12</v>
      </c>
      <c r="B10" s="16" cm="1">
        <f t="array" ref="B10">funcCA(A10)</f>
        <v>3387</v>
      </c>
      <c r="C10" s="17">
        <f>B10/$A$4</f>
        <v>7.6772255907519696E-2</v>
      </c>
      <c r="E10" s="15" t="s">
        <v>19</v>
      </c>
      <c r="F10" s="18" cm="1">
        <f t="array" ref="F10">funcNBjours1(E10)</f>
        <v>8</v>
      </c>
      <c r="G10" s="29" cm="1">
        <f t="array" ref="G10">funcCAévénement(E10)</f>
        <v>7377.5</v>
      </c>
      <c r="H10" s="16">
        <f>G10/F10</f>
        <v>922.1875</v>
      </c>
    </row>
    <row r="11" spans="1:9" x14ac:dyDescent="0.25">
      <c r="A11" s="58" t="s">
        <v>57</v>
      </c>
      <c r="B11" s="57" cm="1">
        <f t="array" ref="B11">funcCA(A11)</f>
        <v>2742</v>
      </c>
      <c r="C11" s="56">
        <f>B11/$A$4</f>
        <v>6.2152207174023914E-2</v>
      </c>
      <c r="E11" s="7" t="s">
        <v>16</v>
      </c>
      <c r="F11" s="18" cm="1">
        <f t="array" ref="F11">funcNBjours1(E11)</f>
        <v>7</v>
      </c>
      <c r="G11" s="29" cm="1">
        <f t="array" ref="G11">funcCAévénement(E11)</f>
        <v>4957.5</v>
      </c>
      <c r="H11" s="16">
        <f>G11/F11</f>
        <v>708.21428571428567</v>
      </c>
    </row>
    <row r="12" spans="1:9" x14ac:dyDescent="0.25">
      <c r="A12" s="59" t="s">
        <v>59</v>
      </c>
      <c r="B12" s="16" cm="1">
        <f t="array" ref="B12">funcCA(A12)</f>
        <v>1869</v>
      </c>
      <c r="C12" s="17">
        <f>B12/$A$4</f>
        <v>4.2364141213804045E-2</v>
      </c>
      <c r="F12" s="66"/>
      <c r="G12" s="26"/>
      <c r="H12" s="26"/>
      <c r="I12" s="26"/>
    </row>
    <row r="14" spans="1:9" x14ac:dyDescent="0.25">
      <c r="A14" s="69" t="s">
        <v>33</v>
      </c>
      <c r="B14" s="69"/>
      <c r="C14" s="69"/>
      <c r="D14" s="69"/>
      <c r="E14" s="69"/>
      <c r="F14" s="69"/>
      <c r="G14" s="69"/>
      <c r="H14" s="69"/>
    </row>
    <row r="15" spans="1:9" x14ac:dyDescent="0.25">
      <c r="A15" s="14" t="s">
        <v>34</v>
      </c>
      <c r="B15" s="14" t="s">
        <v>62</v>
      </c>
      <c r="C15" s="14" t="s">
        <v>63</v>
      </c>
      <c r="D15" s="14" t="s">
        <v>28</v>
      </c>
      <c r="E15" s="14" t="s">
        <v>35</v>
      </c>
      <c r="F15" s="14" t="s">
        <v>36</v>
      </c>
    </row>
    <row r="16" spans="1:9" x14ac:dyDescent="0.25">
      <c r="A16" s="15" t="s">
        <v>37</v>
      </c>
      <c r="B16" s="60">
        <f>'Base de ventes'!A2</f>
        <v>45789</v>
      </c>
      <c r="C16" s="60">
        <f>'Base de ventes'!A22</f>
        <v>45795</v>
      </c>
      <c r="D16" s="16">
        <f>SUMIFS('Base de ventes'!H:H,'Base de ventes'!A:A,"&gt;="&amp;B16,'Base de ventes'!A:A,"&lt;="&amp;C16)</f>
        <v>3799.5</v>
      </c>
      <c r="E16" s="16">
        <f>SUMIFS('Base de ventes'!I:I, 'Base de ventes'!A:A, "&gt;="&amp;B16, 'Base de ventes'!A:A, "&lt;="&amp;C16)</f>
        <v>2537.5</v>
      </c>
      <c r="F16" s="17">
        <f>E16/D16</f>
        <v>0.66785103303066196</v>
      </c>
    </row>
    <row r="17" spans="1:6" x14ac:dyDescent="0.25">
      <c r="A17" s="19" t="s">
        <v>38</v>
      </c>
      <c r="B17" s="60">
        <f>'Base de ventes'!A23</f>
        <v>45796</v>
      </c>
      <c r="C17" s="60">
        <f>'Base de ventes'!A43</f>
        <v>45802</v>
      </c>
      <c r="D17" s="16">
        <f>SUMIFS('Base de ventes'!H:H,'Base de ventes'!A:A,"&gt;="&amp;B17,'Base de ventes'!A:A,"&lt;="&amp;C17)</f>
        <v>3094</v>
      </c>
      <c r="E17" s="16">
        <f>SUMIFS('Base de ventes'!I:I, 'Base de ventes'!A:A, "&gt;="&amp;B17, 'Base de ventes'!A:A, "&lt;="&amp;C17)</f>
        <v>2103.3000000000002</v>
      </c>
      <c r="F17" s="17">
        <f t="shared" ref="F17:F22" si="0">E17/D17</f>
        <v>0.67979961215255336</v>
      </c>
    </row>
    <row r="18" spans="1:6" x14ac:dyDescent="0.25">
      <c r="A18" s="15" t="s">
        <v>64</v>
      </c>
      <c r="B18" s="60">
        <f>'Base de ventes'!A44</f>
        <v>45803</v>
      </c>
      <c r="C18" s="60">
        <f>'Base de ventes'!A61</f>
        <v>45808</v>
      </c>
      <c r="D18" s="16">
        <f>SUMIFS('Base de ventes'!H:H,'Base de ventes'!A:A,"&gt;="&amp;B18,'Base de ventes'!A:A,"&lt;="&amp;C18)</f>
        <v>4348.5</v>
      </c>
      <c r="E18" s="16">
        <f>SUMIFS('Base de ventes'!I:I, 'Base de ventes'!A:A, "&gt;="&amp;B18, 'Base de ventes'!A:A, "&lt;="&amp;C18)</f>
        <v>2848.8999999999996</v>
      </c>
      <c r="F18" s="17">
        <f t="shared" si="0"/>
        <v>0.65514545245486944</v>
      </c>
    </row>
    <row r="19" spans="1:6" x14ac:dyDescent="0.25">
      <c r="A19" s="19" t="s">
        <v>39</v>
      </c>
      <c r="B19" s="60">
        <f>'Base de ventes'!A62</f>
        <v>45810</v>
      </c>
      <c r="C19" s="60">
        <f>'Base de ventes'!A89</f>
        <v>45816</v>
      </c>
      <c r="D19" s="16">
        <f>SUMIFS('Base de ventes'!H:H,'Base de ventes'!A:A,"&gt;="&amp;B19,'Base de ventes'!A:A,"&lt;="&amp;C19)</f>
        <v>7148.5</v>
      </c>
      <c r="E19" s="16">
        <f>SUMIFS('Base de ventes'!I:I, 'Base de ventes'!A:A, "&gt;="&amp;B19, 'Base de ventes'!A:A, "&lt;="&amp;C19)</f>
        <v>4817.5</v>
      </c>
      <c r="F19" s="17">
        <f t="shared" si="0"/>
        <v>0.67391760509197729</v>
      </c>
    </row>
    <row r="20" spans="1:6" x14ac:dyDescent="0.25">
      <c r="A20" s="15" t="s">
        <v>40</v>
      </c>
      <c r="B20" s="60">
        <f>'Base de ventes'!A90</f>
        <v>45817</v>
      </c>
      <c r="C20" s="60">
        <f>'Base de ventes'!A118</f>
        <v>45823</v>
      </c>
      <c r="D20" s="16">
        <f>SUMIFS('Base de ventes'!H:H,'Base de ventes'!A:A,"&gt;="&amp;B20,'Base de ventes'!A:A,"&lt;="&amp;C20)</f>
        <v>7537.5</v>
      </c>
      <c r="E20" s="16">
        <f>SUMIFS('Base de ventes'!I:I, 'Base de ventes'!A:A, "&gt;="&amp;B20, 'Base de ventes'!A:A, "&lt;="&amp;C20)</f>
        <v>5070.2999999999993</v>
      </c>
      <c r="F20" s="17">
        <f t="shared" si="0"/>
        <v>0.6726766169154228</v>
      </c>
    </row>
    <row r="21" spans="1:6" x14ac:dyDescent="0.25">
      <c r="A21" s="19" t="s">
        <v>41</v>
      </c>
      <c r="B21" s="60">
        <f>'Base de ventes'!A119</f>
        <v>45824</v>
      </c>
      <c r="C21" s="60">
        <f>'Base de ventes'!A141</f>
        <v>45830</v>
      </c>
      <c r="D21" s="16">
        <f>SUMIFS('Base de ventes'!H:H,'Base de ventes'!A:A,"&gt;="&amp;B21,'Base de ventes'!A:A,"&lt;="&amp;C21)</f>
        <v>5920</v>
      </c>
      <c r="E21" s="16">
        <f>SUMIFS('Base de ventes'!I:I, 'Base de ventes'!A:A, "&gt;="&amp;B21, 'Base de ventes'!A:A, "&lt;="&amp;C21)</f>
        <v>3979.7</v>
      </c>
      <c r="F21" s="17">
        <f t="shared" si="0"/>
        <v>0.67224662162162163</v>
      </c>
    </row>
    <row r="22" spans="1:6" x14ac:dyDescent="0.25">
      <c r="A22" s="15" t="s">
        <v>42</v>
      </c>
      <c r="B22" s="60">
        <f>'Base de ventes'!A142</f>
        <v>45831</v>
      </c>
      <c r="C22" s="60">
        <f>'Base de ventes'!A165</f>
        <v>45837</v>
      </c>
      <c r="D22" s="16">
        <f>SUMIFS('Base de ventes'!H:H,'Base de ventes'!A:A,"&gt;="&amp;B22,'Base de ventes'!A:A,"&lt;="&amp;C22)</f>
        <v>5625</v>
      </c>
      <c r="E22" s="16">
        <f>SUMIFS('Base de ventes'!I:I, 'Base de ventes'!A:A, "&gt;="&amp;B22, 'Base de ventes'!A:A, "&lt;="&amp;C22)</f>
        <v>3774.9</v>
      </c>
      <c r="F22" s="17">
        <f t="shared" si="0"/>
        <v>0.67109333333333332</v>
      </c>
    </row>
    <row r="23" spans="1:6" x14ac:dyDescent="0.25">
      <c r="A23" s="19" t="s">
        <v>43</v>
      </c>
      <c r="B23" s="60">
        <f>'Base de ventes'!A166</f>
        <v>45838</v>
      </c>
      <c r="C23" s="60">
        <f>'Base de ventes'!A189</f>
        <v>45844</v>
      </c>
      <c r="D23" s="16">
        <f>SUMIFS('Base de ventes'!H:H,'Base de ventes'!A:A,"&gt;="&amp;B23,'Base de ventes'!A:A,"&lt;="&amp;C23)</f>
        <v>6644.5</v>
      </c>
      <c r="E23" s="16">
        <f>SUMIFS('Base de ventes'!I:I, 'Base de ventes'!A:A, "&gt;="&amp;B23, 'Base de ventes'!A:A, "&lt;="&amp;C23)</f>
        <v>4454.9000000000005</v>
      </c>
      <c r="F23" s="17">
        <f>E23/D23</f>
        <v>0.67046429377680794</v>
      </c>
    </row>
    <row r="24" spans="1:6" x14ac:dyDescent="0.25">
      <c r="A24" s="63"/>
      <c r="B24" s="67" t="s">
        <v>21</v>
      </c>
      <c r="C24" s="67"/>
      <c r="D24" s="64">
        <f>SUM(D16:D23)</f>
        <v>44117.5</v>
      </c>
      <c r="E24" s="62">
        <f>SUM(E16:E23)</f>
        <v>29587.000000000004</v>
      </c>
      <c r="F24" s="65">
        <f>E24/D24</f>
        <v>0.67064090213634053</v>
      </c>
    </row>
  </sheetData>
  <mergeCells count="5">
    <mergeCell ref="B24:C24"/>
    <mergeCell ref="A1:H1"/>
    <mergeCell ref="A6:C6"/>
    <mergeCell ref="E6:H6"/>
    <mergeCell ref="A14:H14"/>
  </mergeCell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G15"/>
  <sheetViews>
    <sheetView topLeftCell="A3" zoomScaleNormal="100" workbookViewId="0">
      <selection activeCell="A4" sqref="A4:A11"/>
    </sheetView>
  </sheetViews>
  <sheetFormatPr baseColWidth="10" defaultColWidth="8.7109375" defaultRowHeight="15" x14ac:dyDescent="0.25"/>
  <cols>
    <col min="1" max="1" width="22" customWidth="1"/>
    <col min="2" max="6" width="18" customWidth="1"/>
    <col min="7" max="7" width="22" customWidth="1"/>
  </cols>
  <sheetData>
    <row r="1" spans="1:7" ht="36" customHeight="1" x14ac:dyDescent="0.25">
      <c r="A1" s="68" t="s">
        <v>44</v>
      </c>
      <c r="B1" s="68"/>
      <c r="C1" s="68"/>
      <c r="D1" s="68"/>
      <c r="E1" s="68"/>
      <c r="F1" s="68"/>
      <c r="G1" s="68"/>
    </row>
    <row r="3" spans="1:7" ht="30" customHeight="1" x14ac:dyDescent="0.25">
      <c r="A3" s="1" t="s">
        <v>2</v>
      </c>
      <c r="B3" s="1" t="s">
        <v>3</v>
      </c>
      <c r="C3" s="1" t="s">
        <v>45</v>
      </c>
      <c r="D3" s="1" t="s">
        <v>46</v>
      </c>
      <c r="E3" s="1" t="s">
        <v>7</v>
      </c>
      <c r="F3" s="1" t="s">
        <v>47</v>
      </c>
      <c r="G3" s="1" t="s">
        <v>48</v>
      </c>
    </row>
    <row r="4" spans="1:7" x14ac:dyDescent="0.25">
      <c r="A4" s="15" t="s">
        <v>58</v>
      </c>
      <c r="B4" s="20" t="s">
        <v>9</v>
      </c>
      <c r="C4" s="27">
        <v>16</v>
      </c>
      <c r="D4" s="29">
        <v>5.5</v>
      </c>
      <c r="E4" s="21">
        <f>C4-D4</f>
        <v>10.5</v>
      </c>
      <c r="F4" s="25">
        <f>E4/C4</f>
        <v>0.65625</v>
      </c>
      <c r="G4" s="20" t="s">
        <v>49</v>
      </c>
    </row>
    <row r="5" spans="1:7" x14ac:dyDescent="0.25">
      <c r="A5" s="37" t="s">
        <v>10</v>
      </c>
      <c r="B5" s="22" t="s">
        <v>9</v>
      </c>
      <c r="C5" s="39">
        <v>17</v>
      </c>
      <c r="D5" s="38">
        <v>6</v>
      </c>
      <c r="E5" s="21">
        <f t="shared" ref="E5:E11" si="0">C5-D5</f>
        <v>11</v>
      </c>
      <c r="F5" s="25">
        <f t="shared" ref="F5:F11" si="1">E5/C5</f>
        <v>0.6470588235294118</v>
      </c>
      <c r="G5" s="22" t="s">
        <v>49</v>
      </c>
    </row>
    <row r="6" spans="1:7" x14ac:dyDescent="0.25">
      <c r="A6" s="15" t="s">
        <v>12</v>
      </c>
      <c r="B6" s="20" t="s">
        <v>9</v>
      </c>
      <c r="C6" s="27">
        <v>3</v>
      </c>
      <c r="D6" s="29">
        <v>0.9</v>
      </c>
      <c r="E6" s="21">
        <f t="shared" si="0"/>
        <v>2.1</v>
      </c>
      <c r="F6" s="25">
        <f t="shared" si="1"/>
        <v>0.70000000000000007</v>
      </c>
      <c r="G6" s="20" t="s">
        <v>50</v>
      </c>
    </row>
    <row r="7" spans="1:7" x14ac:dyDescent="0.25">
      <c r="A7" s="37" t="s">
        <v>59</v>
      </c>
      <c r="B7" s="22" t="s">
        <v>13</v>
      </c>
      <c r="C7" s="41">
        <v>3.5</v>
      </c>
      <c r="D7" s="38">
        <v>1.1000000000000001</v>
      </c>
      <c r="E7" s="21">
        <f t="shared" si="0"/>
        <v>2.4</v>
      </c>
      <c r="F7" s="25">
        <f t="shared" si="1"/>
        <v>0.68571428571428572</v>
      </c>
      <c r="G7" s="22" t="s">
        <v>51</v>
      </c>
    </row>
    <row r="8" spans="1:7" x14ac:dyDescent="0.25">
      <c r="A8" s="15" t="s">
        <v>57</v>
      </c>
      <c r="B8" s="20" t="s">
        <v>13</v>
      </c>
      <c r="C8" s="27">
        <v>6</v>
      </c>
      <c r="D8" s="29">
        <v>2</v>
      </c>
      <c r="E8" s="21">
        <f t="shared" si="0"/>
        <v>4</v>
      </c>
      <c r="F8" s="25">
        <f t="shared" si="1"/>
        <v>0.66666666666666663</v>
      </c>
      <c r="G8" s="20" t="s">
        <v>50</v>
      </c>
    </row>
    <row r="9" spans="1:7" x14ac:dyDescent="0.25">
      <c r="A9" s="37" t="s">
        <v>14</v>
      </c>
      <c r="B9" s="22" t="s">
        <v>15</v>
      </c>
      <c r="C9" s="41">
        <v>4.5</v>
      </c>
      <c r="D9" s="38">
        <v>1.4</v>
      </c>
      <c r="E9" s="21">
        <f t="shared" si="0"/>
        <v>3.1</v>
      </c>
      <c r="F9" s="25">
        <f t="shared" si="1"/>
        <v>0.68888888888888888</v>
      </c>
      <c r="G9" s="22" t="s">
        <v>52</v>
      </c>
    </row>
    <row r="10" spans="1:7" x14ac:dyDescent="0.25">
      <c r="A10" s="15" t="s">
        <v>17</v>
      </c>
      <c r="B10" s="20" t="s">
        <v>18</v>
      </c>
      <c r="C10" s="27">
        <v>4</v>
      </c>
      <c r="D10" s="29">
        <v>0.9</v>
      </c>
      <c r="E10" s="21">
        <f t="shared" si="0"/>
        <v>3.1</v>
      </c>
      <c r="F10" s="25">
        <f t="shared" si="1"/>
        <v>0.77500000000000002</v>
      </c>
      <c r="G10" s="20" t="s">
        <v>53</v>
      </c>
    </row>
    <row r="11" spans="1:7" x14ac:dyDescent="0.25">
      <c r="A11" s="42" t="s">
        <v>20</v>
      </c>
      <c r="B11" s="22" t="s">
        <v>18</v>
      </c>
      <c r="C11" s="41">
        <v>4</v>
      </c>
      <c r="D11" s="38">
        <v>0.8</v>
      </c>
      <c r="E11" s="21">
        <f t="shared" si="0"/>
        <v>3.2</v>
      </c>
      <c r="F11" s="25">
        <f t="shared" si="1"/>
        <v>0.8</v>
      </c>
      <c r="G11" s="22" t="s">
        <v>53</v>
      </c>
    </row>
    <row r="14" spans="1:7" x14ac:dyDescent="0.25">
      <c r="A14" s="23" t="s">
        <v>54</v>
      </c>
    </row>
    <row r="15" spans="1:7" x14ac:dyDescent="0.25">
      <c r="A15" s="24" t="s">
        <v>55</v>
      </c>
    </row>
  </sheetData>
  <mergeCells count="1"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Base de ventes</vt:lpstr>
      <vt:lpstr>KPIs &amp; Dashboard</vt:lpstr>
      <vt:lpstr>Rentabilité produits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Phillip MUWONGE</cp:lastModifiedBy>
  <cp:revision>0</cp:revision>
  <dcterms:created xsi:type="dcterms:W3CDTF">2026-05-17T15:10:34Z</dcterms:created>
  <dcterms:modified xsi:type="dcterms:W3CDTF">2026-05-25T23:26:06Z</dcterms:modified>
  <dc:language>en-US</dc:language>
</cp:coreProperties>
</file>