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05DE2480F939450/Documents/"/>
    </mc:Choice>
  </mc:AlternateContent>
  <xr:revisionPtr revIDLastSave="122" documentId="8_{448CDA6D-5776-455E-ABF5-DED4E2D33B94}" xr6:coauthVersionLast="47" xr6:coauthVersionMax="47" xr10:uidLastSave="{D0A3C85F-4364-4D2D-8087-8AB255982A04}"/>
  <bookViews>
    <workbookView xWindow="-120" yWindow="-120" windowWidth="20730" windowHeight="11040" tabRatio="833" activeTab="5" xr2:uid="{00000000-000D-0000-FFFF-FFFF00000000}"/>
  </bookViews>
  <sheets>
    <sheet name="Inventaire" sheetId="1" r:id="rId1"/>
    <sheet name="Évolution stocks" sheetId="2" r:id="rId2"/>
    <sheet name="Fournisseurs" sheetId="3" r:id="rId3"/>
    <sheet name="Flux logistiques" sheetId="4" r:id="rId4"/>
    <sheet name="Analyse fournisseurs" sheetId="5" r:id="rId5"/>
    <sheet name="Optimisation approvisionnement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6" l="1" a="1"/>
  <c r="D8" i="6" s="1"/>
  <c r="D5" i="6"/>
  <c r="D6" i="6"/>
  <c r="D7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4" i="6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G21" i="5" s="1"/>
  <c r="H21" i="5" s="1"/>
  <c r="F22" i="5"/>
  <c r="G22" i="5" s="1"/>
  <c r="H22" i="5" s="1"/>
  <c r="F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4" i="5"/>
  <c r="G19" i="5"/>
  <c r="H19" i="5" s="1"/>
  <c r="G18" i="5"/>
  <c r="H18" i="5" s="1"/>
  <c r="G17" i="5"/>
  <c r="H17" i="5" s="1"/>
  <c r="G16" i="5"/>
  <c r="H16" i="5" s="1"/>
  <c r="G15" i="5"/>
  <c r="H15" i="5" s="1"/>
  <c r="G14" i="5"/>
  <c r="H14" i="5" s="1"/>
  <c r="G13" i="5"/>
  <c r="H13" i="5" s="1"/>
  <c r="G12" i="5"/>
  <c r="H12" i="5" s="1"/>
  <c r="G11" i="5"/>
  <c r="H11" i="5" s="1"/>
  <c r="G10" i="5"/>
  <c r="H10" i="5" s="1"/>
  <c r="G9" i="5"/>
  <c r="H9" i="5" s="1"/>
  <c r="G8" i="5"/>
  <c r="H8" i="5" s="1"/>
  <c r="G7" i="5"/>
  <c r="H7" i="5" s="1"/>
  <c r="G6" i="5"/>
  <c r="H6" i="5" s="1"/>
  <c r="G5" i="5"/>
  <c r="H5" i="5" s="1"/>
  <c r="L52" i="4"/>
  <c r="K52" i="4"/>
  <c r="F52" i="4"/>
  <c r="E52" i="4"/>
  <c r="O51" i="4"/>
  <c r="N51" i="4"/>
  <c r="M51" i="4"/>
  <c r="G51" i="4"/>
  <c r="O50" i="4"/>
  <c r="N50" i="4"/>
  <c r="M50" i="4"/>
  <c r="G50" i="4"/>
  <c r="O49" i="4"/>
  <c r="N49" i="4"/>
  <c r="M49" i="4"/>
  <c r="G49" i="4"/>
  <c r="O48" i="4"/>
  <c r="N48" i="4"/>
  <c r="M48" i="4"/>
  <c r="G48" i="4"/>
  <c r="O47" i="4"/>
  <c r="N47" i="4"/>
  <c r="M47" i="4"/>
  <c r="G47" i="4"/>
  <c r="O46" i="4"/>
  <c r="N46" i="4"/>
  <c r="M46" i="4"/>
  <c r="G46" i="4"/>
  <c r="O45" i="4"/>
  <c r="N45" i="4"/>
  <c r="M45" i="4"/>
  <c r="G45" i="4"/>
  <c r="O44" i="4"/>
  <c r="N44" i="4"/>
  <c r="M44" i="4"/>
  <c r="G44" i="4"/>
  <c r="O43" i="4"/>
  <c r="N43" i="4"/>
  <c r="M43" i="4"/>
  <c r="G43" i="4"/>
  <c r="O42" i="4"/>
  <c r="N42" i="4"/>
  <c r="M42" i="4"/>
  <c r="G42" i="4"/>
  <c r="O41" i="4"/>
  <c r="N41" i="4"/>
  <c r="M41" i="4"/>
  <c r="G41" i="4"/>
  <c r="O40" i="4"/>
  <c r="N40" i="4"/>
  <c r="M40" i="4"/>
  <c r="G40" i="4"/>
  <c r="O39" i="4"/>
  <c r="N39" i="4"/>
  <c r="M39" i="4"/>
  <c r="G39" i="4"/>
  <c r="O38" i="4"/>
  <c r="N38" i="4"/>
  <c r="M38" i="4"/>
  <c r="G38" i="4"/>
  <c r="O37" i="4"/>
  <c r="N37" i="4"/>
  <c r="M37" i="4"/>
  <c r="G37" i="4"/>
  <c r="O36" i="4"/>
  <c r="N36" i="4"/>
  <c r="M36" i="4"/>
  <c r="G36" i="4"/>
  <c r="O35" i="4"/>
  <c r="N35" i="4"/>
  <c r="M35" i="4"/>
  <c r="G35" i="4"/>
  <c r="O34" i="4"/>
  <c r="N34" i="4"/>
  <c r="M34" i="4"/>
  <c r="G34" i="4"/>
  <c r="O33" i="4"/>
  <c r="N33" i="4"/>
  <c r="M33" i="4"/>
  <c r="G33" i="4"/>
  <c r="O32" i="4"/>
  <c r="N32" i="4"/>
  <c r="M32" i="4"/>
  <c r="G32" i="4"/>
  <c r="O31" i="4"/>
  <c r="N31" i="4"/>
  <c r="M31" i="4"/>
  <c r="G31" i="4"/>
  <c r="O30" i="4"/>
  <c r="N30" i="4"/>
  <c r="M30" i="4"/>
  <c r="G30" i="4"/>
  <c r="O29" i="4"/>
  <c r="N29" i="4"/>
  <c r="M29" i="4"/>
  <c r="G29" i="4"/>
  <c r="O28" i="4"/>
  <c r="N28" i="4"/>
  <c r="M28" i="4"/>
  <c r="G28" i="4"/>
  <c r="O27" i="4"/>
  <c r="N27" i="4"/>
  <c r="M27" i="4"/>
  <c r="G27" i="4"/>
  <c r="O26" i="4"/>
  <c r="N26" i="4"/>
  <c r="M26" i="4"/>
  <c r="G26" i="4"/>
  <c r="O25" i="4"/>
  <c r="N25" i="4"/>
  <c r="M25" i="4"/>
  <c r="G25" i="4"/>
  <c r="O24" i="4"/>
  <c r="N24" i="4"/>
  <c r="M24" i="4"/>
  <c r="G24" i="4"/>
  <c r="O23" i="4"/>
  <c r="N23" i="4"/>
  <c r="M23" i="4"/>
  <c r="G23" i="4"/>
  <c r="O22" i="4"/>
  <c r="N22" i="4"/>
  <c r="M22" i="4"/>
  <c r="G22" i="4"/>
  <c r="O21" i="4"/>
  <c r="N21" i="4"/>
  <c r="M21" i="4"/>
  <c r="G21" i="4"/>
  <c r="O20" i="4"/>
  <c r="N20" i="4"/>
  <c r="M20" i="4"/>
  <c r="G20" i="4"/>
  <c r="O19" i="4"/>
  <c r="N19" i="4"/>
  <c r="M19" i="4"/>
  <c r="G19" i="4"/>
  <c r="O18" i="4"/>
  <c r="N18" i="4"/>
  <c r="M18" i="4"/>
  <c r="G18" i="4"/>
  <c r="O17" i="4"/>
  <c r="N17" i="4"/>
  <c r="M17" i="4"/>
  <c r="G17" i="4"/>
  <c r="O16" i="4"/>
  <c r="N16" i="4"/>
  <c r="M16" i="4"/>
  <c r="G16" i="4"/>
  <c r="O15" i="4"/>
  <c r="N15" i="4"/>
  <c r="M15" i="4"/>
  <c r="G15" i="4"/>
  <c r="O14" i="4"/>
  <c r="N14" i="4"/>
  <c r="M14" i="4"/>
  <c r="G14" i="4"/>
  <c r="O13" i="4"/>
  <c r="N13" i="4"/>
  <c r="M13" i="4"/>
  <c r="G13" i="4"/>
  <c r="O12" i="4"/>
  <c r="N12" i="4"/>
  <c r="M12" i="4"/>
  <c r="G12" i="4"/>
  <c r="O11" i="4"/>
  <c r="N11" i="4"/>
  <c r="M11" i="4"/>
  <c r="G11" i="4"/>
  <c r="O10" i="4"/>
  <c r="N10" i="4"/>
  <c r="M10" i="4"/>
  <c r="G10" i="4"/>
  <c r="O9" i="4"/>
  <c r="N9" i="4"/>
  <c r="M9" i="4"/>
  <c r="G9" i="4"/>
  <c r="O8" i="4"/>
  <c r="N8" i="4"/>
  <c r="M8" i="4"/>
  <c r="G8" i="4"/>
  <c r="O7" i="4"/>
  <c r="N7" i="4"/>
  <c r="M7" i="4"/>
  <c r="G7" i="4"/>
  <c r="O6" i="4"/>
  <c r="N6" i="4"/>
  <c r="M6" i="4"/>
  <c r="G6" i="4"/>
  <c r="O5" i="4"/>
  <c r="N5" i="4"/>
  <c r="M5" i="4"/>
  <c r="G5" i="4"/>
  <c r="O4" i="4"/>
  <c r="N4" i="4"/>
  <c r="M4" i="4"/>
  <c r="G4" i="4"/>
  <c r="O3" i="4"/>
  <c r="N3" i="4"/>
  <c r="M3" i="4"/>
  <c r="G3" i="4"/>
  <c r="O2" i="4"/>
  <c r="N2" i="4"/>
  <c r="M2" i="4"/>
  <c r="M52" i="4" s="1"/>
  <c r="G2" i="4"/>
  <c r="U3" i="1"/>
  <c r="U4" i="1" s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Q2" i="1"/>
  <c r="L2" i="1"/>
  <c r="N8" i="1"/>
  <c r="N51" i="1" s="1"/>
  <c r="Q29" i="1"/>
  <c r="K51" i="1"/>
  <c r="M51" i="1"/>
  <c r="M3" i="1"/>
  <c r="M4" i="1"/>
  <c r="M5" i="1"/>
  <c r="M6" i="1"/>
  <c r="N6" i="1" s="1"/>
  <c r="M7" i="1"/>
  <c r="M8" i="1"/>
  <c r="M9" i="1"/>
  <c r="M10" i="1"/>
  <c r="N10" i="1" s="1"/>
  <c r="M11" i="1"/>
  <c r="M12" i="1"/>
  <c r="M13" i="1"/>
  <c r="M14" i="1"/>
  <c r="N14" i="1" s="1"/>
  <c r="M15" i="1"/>
  <c r="M16" i="1"/>
  <c r="M17" i="1"/>
  <c r="M18" i="1"/>
  <c r="N18" i="1" s="1"/>
  <c r="M19" i="1"/>
  <c r="M20" i="1"/>
  <c r="M21" i="1"/>
  <c r="M22" i="1"/>
  <c r="N22" i="1" s="1"/>
  <c r="M23" i="1"/>
  <c r="M24" i="1"/>
  <c r="M25" i="1"/>
  <c r="M26" i="1"/>
  <c r="N26" i="1" s="1"/>
  <c r="M27" i="1"/>
  <c r="M28" i="1"/>
  <c r="M29" i="1"/>
  <c r="M30" i="1"/>
  <c r="N30" i="1" s="1"/>
  <c r="M31" i="1"/>
  <c r="M32" i="1"/>
  <c r="M33" i="1"/>
  <c r="M34" i="1"/>
  <c r="N34" i="1" s="1"/>
  <c r="M35" i="1"/>
  <c r="M36" i="1"/>
  <c r="M37" i="1"/>
  <c r="M38" i="1"/>
  <c r="N38" i="1" s="1"/>
  <c r="M39" i="1"/>
  <c r="M40" i="1"/>
  <c r="M41" i="1"/>
  <c r="M42" i="1"/>
  <c r="N42" i="1" s="1"/>
  <c r="M43" i="1"/>
  <c r="M44" i="1"/>
  <c r="M45" i="1"/>
  <c r="M46" i="1"/>
  <c r="N46" i="1" s="1"/>
  <c r="M47" i="1"/>
  <c r="M48" i="1"/>
  <c r="M49" i="1"/>
  <c r="M50" i="1"/>
  <c r="N50" i="1" s="1"/>
  <c r="M2" i="1"/>
  <c r="N2" i="1" s="1"/>
  <c r="N3" i="1"/>
  <c r="N4" i="1"/>
  <c r="N5" i="1"/>
  <c r="N7" i="1"/>
  <c r="N9" i="1"/>
  <c r="N11" i="1"/>
  <c r="N12" i="1"/>
  <c r="N13" i="1"/>
  <c r="N15" i="1"/>
  <c r="N16" i="1"/>
  <c r="N17" i="1"/>
  <c r="N19" i="1"/>
  <c r="N20" i="1"/>
  <c r="N21" i="1"/>
  <c r="N23" i="1"/>
  <c r="N24" i="1"/>
  <c r="N25" i="1"/>
  <c r="N27" i="1"/>
  <c r="N28" i="1"/>
  <c r="N29" i="1"/>
  <c r="N31" i="1"/>
  <c r="N32" i="1"/>
  <c r="N33" i="1"/>
  <c r="N35" i="1"/>
  <c r="N36" i="1"/>
  <c r="N37" i="1"/>
  <c r="N39" i="1"/>
  <c r="N40" i="1"/>
  <c r="N41" i="1"/>
  <c r="N43" i="1"/>
  <c r="N44" i="1"/>
  <c r="N45" i="1"/>
  <c r="N47" i="1"/>
  <c r="N48" i="1"/>
  <c r="N49" i="1"/>
  <c r="G2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" i="1"/>
  <c r="G4" i="1"/>
  <c r="G3" i="1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J51" i="1"/>
  <c r="I51" i="1"/>
  <c r="H51" i="1"/>
  <c r="L50" i="1"/>
  <c r="L49" i="1"/>
  <c r="L48" i="1"/>
  <c r="L47" i="1"/>
  <c r="R47" i="1" s="1"/>
  <c r="L46" i="1"/>
  <c r="L45" i="1"/>
  <c r="L44" i="1"/>
  <c r="L43" i="1"/>
  <c r="R43" i="1" s="1"/>
  <c r="L42" i="1"/>
  <c r="L41" i="1"/>
  <c r="L40" i="1"/>
  <c r="L39" i="1"/>
  <c r="R39" i="1" s="1"/>
  <c r="L38" i="1"/>
  <c r="L37" i="1"/>
  <c r="L36" i="1"/>
  <c r="L35" i="1"/>
  <c r="R35" i="1" s="1"/>
  <c r="L34" i="1"/>
  <c r="L33" i="1"/>
  <c r="L32" i="1"/>
  <c r="L31" i="1"/>
  <c r="R31" i="1" s="1"/>
  <c r="L30" i="1"/>
  <c r="L29" i="1"/>
  <c r="L28" i="1"/>
  <c r="L27" i="1"/>
  <c r="R27" i="1" s="1"/>
  <c r="L26" i="1"/>
  <c r="L25" i="1"/>
  <c r="L24" i="1"/>
  <c r="L23" i="1"/>
  <c r="R23" i="1" s="1"/>
  <c r="L22" i="1"/>
  <c r="L21" i="1"/>
  <c r="L20" i="1"/>
  <c r="L19" i="1"/>
  <c r="R19" i="1" s="1"/>
  <c r="L18" i="1"/>
  <c r="L17" i="1"/>
  <c r="L16" i="1"/>
  <c r="L15" i="1"/>
  <c r="R15" i="1" s="1"/>
  <c r="L14" i="1"/>
  <c r="L13" i="1"/>
  <c r="L12" i="1"/>
  <c r="L11" i="1"/>
  <c r="R11" i="1" s="1"/>
  <c r="L10" i="1"/>
  <c r="L9" i="1"/>
  <c r="L8" i="1"/>
  <c r="L7" i="1"/>
  <c r="R7" i="1" s="1"/>
  <c r="L6" i="1"/>
  <c r="L5" i="1"/>
  <c r="L4" i="1"/>
  <c r="L3" i="1"/>
  <c r="R3" i="1" s="1"/>
  <c r="G20" i="5" l="1"/>
  <c r="H20" i="5" s="1"/>
  <c r="G4" i="5"/>
  <c r="H4" i="5" s="1"/>
  <c r="R49" i="1"/>
  <c r="R5" i="1"/>
  <c r="R9" i="1"/>
  <c r="R13" i="1"/>
  <c r="R17" i="1"/>
  <c r="R21" i="1"/>
  <c r="R25" i="1"/>
  <c r="R29" i="1"/>
  <c r="R33" i="1"/>
  <c r="R37" i="1"/>
  <c r="R41" i="1"/>
  <c r="R45" i="1"/>
  <c r="R10" i="1"/>
  <c r="R22" i="1"/>
  <c r="R34" i="1"/>
  <c r="R38" i="1"/>
  <c r="R50" i="1"/>
  <c r="R6" i="1"/>
  <c r="R14" i="1"/>
  <c r="R18" i="1"/>
  <c r="R26" i="1"/>
  <c r="R30" i="1"/>
  <c r="R42" i="1"/>
  <c r="R46" i="1"/>
  <c r="R4" i="1"/>
  <c r="R8" i="1"/>
  <c r="R12" i="1"/>
  <c r="R16" i="1"/>
  <c r="R20" i="1"/>
  <c r="R24" i="1"/>
  <c r="R28" i="1"/>
  <c r="R32" i="1"/>
  <c r="R36" i="1"/>
  <c r="R40" i="1"/>
  <c r="R44" i="1"/>
  <c r="R48" i="1"/>
  <c r="Q25" i="1"/>
  <c r="Q33" i="1"/>
  <c r="Q9" i="1"/>
  <c r="Q17" i="1"/>
  <c r="Q49" i="1"/>
  <c r="Q41" i="1"/>
  <c r="Q5" i="1"/>
  <c r="Q21" i="1"/>
  <c r="Q37" i="1"/>
  <c r="Q13" i="1"/>
  <c r="Q45" i="1"/>
  <c r="Q7" i="1"/>
  <c r="Q15" i="1"/>
  <c r="Q23" i="1"/>
  <c r="Q31" i="1"/>
  <c r="Q39" i="1"/>
  <c r="Q47" i="1"/>
  <c r="Q3" i="1"/>
  <c r="Q11" i="1"/>
  <c r="Q19" i="1"/>
  <c r="Q27" i="1"/>
  <c r="Q35" i="1"/>
  <c r="Q43" i="1"/>
  <c r="L51" i="1"/>
  <c r="Q4" i="1"/>
  <c r="Q6" i="1"/>
  <c r="Q8" i="1"/>
  <c r="Q10" i="1"/>
  <c r="Q12" i="1"/>
  <c r="Q14" i="1"/>
  <c r="Q16" i="1"/>
  <c r="Q18" i="1"/>
  <c r="Q20" i="1"/>
  <c r="Q22" i="1"/>
  <c r="Q24" i="1"/>
  <c r="Q26" i="1"/>
  <c r="Q28" i="1"/>
  <c r="Q30" i="1"/>
  <c r="Q32" i="1"/>
  <c r="Q34" i="1"/>
  <c r="Q36" i="1"/>
  <c r="Q38" i="1"/>
  <c r="Q40" i="1"/>
  <c r="Q42" i="1"/>
  <c r="Q44" i="1"/>
  <c r="Q46" i="1"/>
  <c r="Q48" i="1"/>
  <c r="O2" i="1"/>
  <c r="P2" i="1" s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Q50" i="1"/>
  <c r="R2" i="1"/>
  <c r="Q51" i="1" l="1"/>
  <c r="O51" i="1"/>
  <c r="P5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<sst xmlns="http://schemas.openxmlformats.org/spreadsheetml/2006/main" count="894" uniqueCount="308">
  <si>
    <t>ID Produit</t>
  </si>
  <si>
    <t>Catégorie</t>
  </si>
  <si>
    <t>Produit</t>
  </si>
  <si>
    <t>Fournisseur</t>
  </si>
  <si>
    <t>Unité</t>
  </si>
  <si>
    <t>Prix unit. (UGX)</t>
  </si>
  <si>
    <t>Délai réappro (j)</t>
  </si>
  <si>
    <t>Stock init. 01/07</t>
  </si>
  <si>
    <t>Entrées</t>
  </si>
  <si>
    <t>Sorties</t>
  </si>
  <si>
    <t>Stock final 31/08</t>
  </si>
  <si>
    <t>Seuil alerte</t>
  </si>
  <si>
    <t>Valeur stock (UGX)</t>
  </si>
  <si>
    <t>Taux rotation</t>
  </si>
  <si>
    <t>Statut</t>
  </si>
  <si>
    <t>Date inv. init.</t>
  </si>
  <si>
    <t>Date inv. mi-stage</t>
  </si>
  <si>
    <t>Date inv. final</t>
  </si>
  <si>
    <t>P001</t>
  </si>
  <si>
    <t>Linge hôtelier</t>
  </si>
  <si>
    <t>Draps simples</t>
  </si>
  <si>
    <t>Uganda Textile Ltd</t>
  </si>
  <si>
    <t>Pièce</t>
  </si>
  <si>
    <t>P002</t>
  </si>
  <si>
    <t>Draps doubles</t>
  </si>
  <si>
    <t>P003</t>
  </si>
  <si>
    <t>Serviettes de bain</t>
  </si>
  <si>
    <t>Kampala Linen Co.</t>
  </si>
  <si>
    <t>P004</t>
  </si>
  <si>
    <t>Serviettes de visage</t>
  </si>
  <si>
    <t>P005</t>
  </si>
  <si>
    <t>Taies d'oreiller</t>
  </si>
  <si>
    <t>P006</t>
  </si>
  <si>
    <t>Peignoirs</t>
  </si>
  <si>
    <t>P007</t>
  </si>
  <si>
    <t>Boissons minibar</t>
  </si>
  <si>
    <t>Nile Special (bière)</t>
  </si>
  <si>
    <t>Century Bottling Co.</t>
  </si>
  <si>
    <t>Bouteille</t>
  </si>
  <si>
    <t>P008</t>
  </si>
  <si>
    <t>Bell Lager (bière)</t>
  </si>
  <si>
    <t>Uganda Breweries Ltd</t>
  </si>
  <si>
    <t>P009</t>
  </si>
  <si>
    <t>Club Pilsner (bière)</t>
  </si>
  <si>
    <t>P010</t>
  </si>
  <si>
    <t>Stoney Tangawizi</t>
  </si>
  <si>
    <t>Coca-Cola Beverages Africa</t>
  </si>
  <si>
    <t>P011</t>
  </si>
  <si>
    <t>Novida (jus pomme)</t>
  </si>
  <si>
    <t>P012</t>
  </si>
  <si>
    <t>Riham Cola</t>
  </si>
  <si>
    <t>Riham Holdings Ltd</t>
  </si>
  <si>
    <t>P013</t>
  </si>
  <si>
    <t>Splash (jus mangue)</t>
  </si>
  <si>
    <t>P014</t>
  </si>
  <si>
    <t>Rwenzori Water 50cl</t>
  </si>
  <si>
    <t>Rwenzori Beverages</t>
  </si>
  <si>
    <t>P015</t>
  </si>
  <si>
    <t>Rwenzori Water 1L</t>
  </si>
  <si>
    <t>P016</t>
  </si>
  <si>
    <t>Uganda Waragi (gin)</t>
  </si>
  <si>
    <t>Uganda Distillers Ltd</t>
  </si>
  <si>
    <t>P017</t>
  </si>
  <si>
    <t>Konyagi (gin)</t>
  </si>
  <si>
    <t>Tanzania Distillers</t>
  </si>
  <si>
    <t>P018</t>
  </si>
  <si>
    <t>Produits cuisine</t>
  </si>
  <si>
    <t>Matoke (bananes vertes)</t>
  </si>
  <si>
    <t>Fresh Produce Uganda</t>
  </si>
  <si>
    <t>kg</t>
  </si>
  <si>
    <t>P019</t>
  </si>
  <si>
    <t>Posho (farine de maïs)</t>
  </si>
  <si>
    <t>Grain Suppliers Ug.</t>
  </si>
  <si>
    <t>P020</t>
  </si>
  <si>
    <t>Groundnut paste</t>
  </si>
  <si>
    <t>P021</t>
  </si>
  <si>
    <t>Huile de palme</t>
  </si>
  <si>
    <t>Bidco Uganda Ltd</t>
  </si>
  <si>
    <t>L</t>
  </si>
  <si>
    <t>P022</t>
  </si>
  <si>
    <t>Riz long grain</t>
  </si>
  <si>
    <t>Tilda Uganda</t>
  </si>
  <si>
    <t>P023</t>
  </si>
  <si>
    <t>Café Robusta Uganda</t>
  </si>
  <si>
    <t>Kyagalanyi Coffee Ltd</t>
  </si>
  <si>
    <t>P024</t>
  </si>
  <si>
    <t>Thé Ugachaa</t>
  </si>
  <si>
    <t>Uganda Tea Packers</t>
  </si>
  <si>
    <t>P025</t>
  </si>
  <si>
    <t>Sucre</t>
  </si>
  <si>
    <t>Kakira Sugar Ltd</t>
  </si>
  <si>
    <t>P026</t>
  </si>
  <si>
    <t>Tomates fraîches</t>
  </si>
  <si>
    <t>P027</t>
  </si>
  <si>
    <t>Oignons</t>
  </si>
  <si>
    <t>P028</t>
  </si>
  <si>
    <t>Poulet surgelé</t>
  </si>
  <si>
    <t>Ugachick Poultry</t>
  </si>
  <si>
    <t>P029</t>
  </si>
  <si>
    <t>Tilapia surgelé</t>
  </si>
  <si>
    <t>Victoria Fish Ltd</t>
  </si>
  <si>
    <t>P030</t>
  </si>
  <si>
    <t>Produits ménagers</t>
  </si>
  <si>
    <t>Savon de lessive</t>
  </si>
  <si>
    <t>Mukwano Industries</t>
  </si>
  <si>
    <t>P031</t>
  </si>
  <si>
    <t>Détergent sol</t>
  </si>
  <si>
    <t>Flacon</t>
  </si>
  <si>
    <t>P032</t>
  </si>
  <si>
    <t>Désinfectant</t>
  </si>
  <si>
    <t>Reckitt Uganda</t>
  </si>
  <si>
    <t>P033</t>
  </si>
  <si>
    <t>Papier toilette</t>
  </si>
  <si>
    <t>Rouleau</t>
  </si>
  <si>
    <t>P034</t>
  </si>
  <si>
    <t>Savon mains (chambre)</t>
  </si>
  <si>
    <t>Unilever Uganda</t>
  </si>
  <si>
    <t>P035</t>
  </si>
  <si>
    <t>Gel douche</t>
  </si>
  <si>
    <t>P036</t>
  </si>
  <si>
    <t>Shampooing</t>
  </si>
  <si>
    <t>P037</t>
  </si>
  <si>
    <t>Sacs poubelle</t>
  </si>
  <si>
    <t>Plastics Uganda Ltd</t>
  </si>
  <si>
    <t>P038</t>
  </si>
  <si>
    <t>Liquide vaisselle</t>
  </si>
  <si>
    <t>P039</t>
  </si>
  <si>
    <t>Spray vitres</t>
  </si>
  <si>
    <t>P040</t>
  </si>
  <si>
    <t>Équipements</t>
  </si>
  <si>
    <t>Ampoules LED</t>
  </si>
  <si>
    <t>Jumia Electronics Ug.</t>
  </si>
  <si>
    <t>P041</t>
  </si>
  <si>
    <t>Piles AA</t>
  </si>
  <si>
    <t>P042</t>
  </si>
  <si>
    <t>Télécommandes TV</t>
  </si>
  <si>
    <t>P043</t>
  </si>
  <si>
    <t>Adaptateurs prises</t>
  </si>
  <si>
    <t>P044</t>
  </si>
  <si>
    <t>Papeterie</t>
  </si>
  <si>
    <t>Stylos (chambre)</t>
  </si>
  <si>
    <t>Office World Uganda</t>
  </si>
  <si>
    <t>P045</t>
  </si>
  <si>
    <t>Bloc-notes (chambre)</t>
  </si>
  <si>
    <t>P046</t>
  </si>
  <si>
    <t>Enveloppes</t>
  </si>
  <si>
    <t>P047</t>
  </si>
  <si>
    <t>Menus (plastifiés)</t>
  </si>
  <si>
    <t>P048</t>
  </si>
  <si>
    <t>Cartes de bienvenue</t>
  </si>
  <si>
    <t>P049</t>
  </si>
  <si>
    <t>Registre des entrées</t>
  </si>
  <si>
    <t>Carnet</t>
  </si>
  <si>
    <t>TOTAL / MOYENNES</t>
  </si>
  <si>
    <t>📈  ÉVOLUTION DES STOCKS — 3 inventaires | Juillet → Août 2024 | Hôtel Albertine Rock</t>
  </si>
  <si>
    <t>ID</t>
  </si>
  <si>
    <t>Stock 01/07/2024</t>
  </si>
  <si>
    <t>Stock 01/08/2024</t>
  </si>
  <si>
    <t>Stock 31/08/2024</t>
  </si>
  <si>
    <t>Variation juil. (%)</t>
  </si>
  <si>
    <t>Variation août (%)</t>
  </si>
  <si>
    <t>🏭  RÉFÉRENTIEL FOURNISSEURS | Hôtel Albertine Rock | Ouganda 2024</t>
  </si>
  <si>
    <t>Spécialité</t>
  </si>
  <si>
    <t>Ville</t>
  </si>
  <si>
    <t>Délai moy. (j)</t>
  </si>
  <si>
    <t>Fiabilité</t>
  </si>
  <si>
    <t>Nb produits fournis</t>
  </si>
  <si>
    <t>Recommandation</t>
  </si>
  <si>
    <t>Kampala</t>
  </si>
  <si>
    <t>⭐⭐⭐⭐</t>
  </si>
  <si>
    <t>✅ Fiable</t>
  </si>
  <si>
    <t>⭐⭐⭐⭐⭐</t>
  </si>
  <si>
    <t>Boissons</t>
  </si>
  <si>
    <t>Boissons alcoolisées</t>
  </si>
  <si>
    <t>Sodas &amp; jus</t>
  </si>
  <si>
    <t>Boissons locales</t>
  </si>
  <si>
    <t>⭐⭐⭐</t>
  </si>
  <si>
    <t>⚠️ Délais variables</t>
  </si>
  <si>
    <t>Eau minérale</t>
  </si>
  <si>
    <t>Fort Portal</t>
  </si>
  <si>
    <t>Spiritueux</t>
  </si>
  <si>
    <t>Spiritueux importés</t>
  </si>
  <si>
    <t>Dar es Salaam</t>
  </si>
  <si>
    <t>⚠️ Délais longs</t>
  </si>
  <si>
    <t>Fruits &amp; légumes</t>
  </si>
  <si>
    <t>✅ Livraison J+1</t>
  </si>
  <si>
    <t>Céréales</t>
  </si>
  <si>
    <t>Huile &amp; hygiène</t>
  </si>
  <si>
    <t>Riz</t>
  </si>
  <si>
    <t>Café Robusta</t>
  </si>
  <si>
    <t>✅ Qualité premium</t>
  </si>
  <si>
    <t>Thé</t>
  </si>
  <si>
    <t>Jinja</t>
  </si>
  <si>
    <t>Volaille</t>
  </si>
  <si>
    <t>Poisson lac Victoria</t>
  </si>
  <si>
    <t>Entebbe</t>
  </si>
  <si>
    <t>Désinfectants</t>
  </si>
  <si>
    <t>Hygiène personnelle</t>
  </si>
  <si>
    <t>Emballages</t>
  </si>
  <si>
    <t>⚠️ Qualité variable</t>
  </si>
  <si>
    <t>Prix unit. (EUR)</t>
  </si>
  <si>
    <t>Valeur stock (EUR)</t>
  </si>
  <si>
    <t>Consommation moyenne journalière</t>
  </si>
  <si>
    <t>N° Livraison</t>
  </si>
  <si>
    <t>Date commande</t>
  </si>
  <si>
    <t>Qté commandée</t>
  </si>
  <si>
    <t>Qté reçue</t>
  </si>
  <si>
    <t>Prix unit.(UGX)</t>
  </si>
  <si>
    <t>Date liv. prévue</t>
  </si>
  <si>
    <t>Date liv. réelle</t>
  </si>
  <si>
    <t>Délai prévu (j)</t>
  </si>
  <si>
    <t>Délai réel (j)</t>
  </si>
  <si>
    <t>Retard (j)</t>
  </si>
  <si>
    <t>Anomalie</t>
  </si>
  <si>
    <t>Type anomalie</t>
  </si>
  <si>
    <t>LIV-001</t>
  </si>
  <si>
    <t>LIV-002</t>
  </si>
  <si>
    <t>LIV-003</t>
  </si>
  <si>
    <t>LIV-004</t>
  </si>
  <si>
    <t>LIV-005</t>
  </si>
  <si>
    <t>LIV-006</t>
  </si>
  <si>
    <t>LIV-007</t>
  </si>
  <si>
    <t>LIV-008</t>
  </si>
  <si>
    <t>LIV-009</t>
  </si>
  <si>
    <t>LIV-010</t>
  </si>
  <si>
    <t>LIV-011</t>
  </si>
  <si>
    <t>LIV-012</t>
  </si>
  <si>
    <t>LIV-013</t>
  </si>
  <si>
    <t>LIV-014</t>
  </si>
  <si>
    <t>LIV-015</t>
  </si>
  <si>
    <t>LIV-016</t>
  </si>
  <si>
    <t>LIV-017</t>
  </si>
  <si>
    <t>LIV-018</t>
  </si>
  <si>
    <t>LIV-019</t>
  </si>
  <si>
    <t>LIV-020</t>
  </si>
  <si>
    <t>LIV-021</t>
  </si>
  <si>
    <t>LIV-022</t>
  </si>
  <si>
    <t>LIV-023</t>
  </si>
  <si>
    <t>LIV-024</t>
  </si>
  <si>
    <t>LIV-025</t>
  </si>
  <si>
    <t>LIV-026</t>
  </si>
  <si>
    <t>LIV-027</t>
  </si>
  <si>
    <t>LIV-028</t>
  </si>
  <si>
    <t>LIV-029</t>
  </si>
  <si>
    <t>LIV-030</t>
  </si>
  <si>
    <t>LIV-031</t>
  </si>
  <si>
    <t>LIV-032</t>
  </si>
  <si>
    <t>LIV-033</t>
  </si>
  <si>
    <t>LIV-034</t>
  </si>
  <si>
    <t>LIV-035</t>
  </si>
  <si>
    <t>LIV-036</t>
  </si>
  <si>
    <t>LIV-037</t>
  </si>
  <si>
    <t>LIV-038</t>
  </si>
  <si>
    <t>LIV-039</t>
  </si>
  <si>
    <t>LIV-040</t>
  </si>
  <si>
    <t>LIV-041</t>
  </si>
  <si>
    <t>LIV-042</t>
  </si>
  <si>
    <t>LIV-043</t>
  </si>
  <si>
    <t>LIV-044</t>
  </si>
  <si>
    <t>LIV-045</t>
  </si>
  <si>
    <t>LIV-046</t>
  </si>
  <si>
    <t>LIV-047</t>
  </si>
  <si>
    <t>LIV-048</t>
  </si>
  <si>
    <t>LIV-049</t>
  </si>
  <si>
    <t>LIV-050</t>
  </si>
  <si>
    <t>📊  ANALYSE PERFORMANCE FOURNISSEURS | Hôtel Albertine Rock | Juillet–Août 2024</t>
  </si>
  <si>
    <t>Nb livraisons</t>
  </si>
  <si>
    <t>Délai moy. prévu (j)</t>
  </si>
  <si>
    <t>Délai moy. réel (j)</t>
  </si>
  <si>
    <t>Retard moy. (j)</t>
  </si>
  <si>
    <t>Nb anomalies</t>
  </si>
  <si>
    <t>Taux anomalies (%)</t>
  </si>
  <si>
    <t>PLAN D'OPTIMISATION DES APPROVISIONNEMENTS | Hotel Albertine Rock | Aout 2024</t>
  </si>
  <si>
    <t>Categorie</t>
  </si>
  <si>
    <t>Conso moy/jour</t>
  </si>
  <si>
    <t>Stock actuel</t>
  </si>
  <si>
    <t>Jours stock restants</t>
  </si>
  <si>
    <t>Delai reappro (j)</t>
  </si>
  <si>
    <t>Stock securite</t>
  </si>
  <si>
    <t>Point de commande</t>
  </si>
  <si>
    <t>Qte recommandée</t>
  </si>
  <si>
    <t>Cout estime (EUR)</t>
  </si>
  <si>
    <t>Statut commande</t>
  </si>
  <si>
    <t>Linge hotelier</t>
  </si>
  <si>
    <t>OK</t>
  </si>
  <si>
    <t>Taies d oreiller</t>
  </si>
  <si>
    <t>Nile Special biere</t>
  </si>
  <si>
    <t>Bell Lager biere</t>
  </si>
  <si>
    <t>Club Pilsner biere</t>
  </si>
  <si>
    <t>Uganda Waragi gin</t>
  </si>
  <si>
    <t>Konyagi gin</t>
  </si>
  <si>
    <t>Tomates fraiches</t>
  </si>
  <si>
    <t>Matoke bananes vertes</t>
  </si>
  <si>
    <t>Posho farine mais</t>
  </si>
  <si>
    <t>Cafe Robusta Uganda</t>
  </si>
  <si>
    <t>Poulet surgele</t>
  </si>
  <si>
    <t>Produits menagers</t>
  </si>
  <si>
    <t>Savon mains chambre</t>
  </si>
  <si>
    <t>Desinfectant</t>
  </si>
  <si>
    <t>Equipements</t>
  </si>
  <si>
    <t>Stylos chambre</t>
  </si>
  <si>
    <t>Bloc-notes chambre</t>
  </si>
  <si>
    <t>Urgente</t>
  </si>
  <si>
    <t>Legende statut commande :</t>
  </si>
  <si>
    <t>Jours restants &lt;= Delai reappro — Commander immediatement</t>
  </si>
  <si>
    <t>Planifiee</t>
  </si>
  <si>
    <t>Jours restants &lt;= Delai x 1.5 — Commander dans la semaine</t>
  </si>
  <si>
    <t>Stock suffisant — Surveiller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</si>
</sst>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&quot; UGX&quot;"/>
    <numFmt numFmtId="165" formatCode="0.0"/>
    <numFmt numFmtId="166" formatCode="0.0%"/>
    <numFmt numFmtId="167" formatCode="#,##0.00\ &quot;€&quot;"/>
    <numFmt numFmtId="168" formatCode="_-* #,##0.00\ [$UGX]_-;\-* #,##0.00\ [$UGX]_-;_-* &quot;-&quot;??\ [$UGX]_-;_-@_-"/>
    <numFmt numFmtId="169" formatCode="#,##0.00&quot; €&quot;"/>
    <numFmt numFmtId="170" formatCode="#,##0.00&quot; EUR&quot;"/>
  </numFmts>
  <fonts count="14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9"/>
      <color rgb="FF2E7D32"/>
      <name val="Arial"/>
      <charset val="1"/>
    </font>
    <font>
      <b/>
      <sz val="9"/>
      <color rgb="FFF57F17"/>
      <name val="Arial"/>
      <charset val="1"/>
    </font>
    <font>
      <b/>
      <sz val="9"/>
      <color rgb="FFC62828"/>
      <name val="Arial"/>
      <charset val="1"/>
    </font>
    <font>
      <b/>
      <sz val="12"/>
      <color rgb="FFFFFFFF"/>
      <name val="Arial"/>
      <charset val="1"/>
    </font>
    <font>
      <b/>
      <sz val="9"/>
      <color rgb="FF000000"/>
      <name val="Arial"/>
      <charset val="1"/>
    </font>
    <font>
      <b/>
      <sz val="9"/>
      <name val="Arial"/>
      <charset val="1"/>
    </font>
    <font>
      <b/>
      <sz val="9"/>
      <color theme="0"/>
      <name val="Arial"/>
      <family val="2"/>
    </font>
    <font>
      <sz val="11"/>
      <color theme="1" tint="0.14999847407452621"/>
      <name val="Calibri"/>
      <family val="2"/>
      <charset val="1"/>
    </font>
    <font>
      <b/>
      <sz val="9"/>
      <color theme="1" tint="0.14999847407452621"/>
      <name val="Arial"/>
      <family val="2"/>
    </font>
    <font>
      <b/>
      <sz val="11"/>
      <color theme="1" tint="0.14999847407452621"/>
      <name val="Calibri"/>
      <family val="2"/>
    </font>
    <font>
      <b/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1B3A5C"/>
        <bgColor rgb="FF333333"/>
      </patternFill>
    </fill>
    <fill>
      <patternFill patternType="solid">
        <fgColor rgb="FFFFFFFF"/>
        <bgColor rgb="FFF5F5F5"/>
      </patternFill>
    </fill>
    <fill>
      <patternFill patternType="solid">
        <fgColor rgb="FFC8E6C9"/>
        <bgColor rgb="FFCCCCCC"/>
      </patternFill>
    </fill>
    <fill>
      <patternFill patternType="solid">
        <fgColor rgb="FFF5F5F5"/>
        <bgColor rgb="FFFFFFFF"/>
      </patternFill>
    </fill>
    <fill>
      <patternFill patternType="solid">
        <fgColor rgb="FFFFCDD2"/>
        <bgColor rgb="FFCCCCCC"/>
      </patternFill>
    </fill>
    <fill>
      <patternFill patternType="solid">
        <fgColor rgb="FFC9A84C"/>
        <bgColor rgb="FFFF9900"/>
      </patternFill>
    </fill>
    <fill>
      <patternFill patternType="solid">
        <fgColor rgb="FFC9A84C"/>
        <bgColor rgb="FFF5F5F5"/>
      </patternFill>
    </fill>
    <fill>
      <patternFill patternType="solid">
        <fgColor rgb="FFFFF9C4"/>
        <bgColor rgb="FFF5F5F5"/>
      </patternFill>
    </fill>
    <fill>
      <patternFill patternType="solid">
        <fgColor rgb="FFFFEBEE"/>
        <bgColor rgb="FFF5F5F5"/>
      </patternFill>
    </fill>
    <fill>
      <patternFill patternType="solid">
        <fgColor rgb="FFFFCDD2"/>
        <bgColor rgb="FFFFEBEE"/>
      </patternFill>
    </fill>
    <fill>
      <patternFill patternType="solid">
        <fgColor rgb="FFF5F5F5"/>
        <bgColor rgb="FFFFEBEE"/>
      </patternFill>
    </fill>
    <fill>
      <patternFill patternType="solid">
        <fgColor rgb="FFFF6565"/>
        <bgColor rgb="FFF5F5F5"/>
      </patternFill>
    </fill>
    <fill>
      <patternFill patternType="solid">
        <fgColor rgb="FFC8E6C9"/>
        <bgColor rgb="FFFFEBEE"/>
      </patternFill>
    </fill>
    <fill>
      <patternFill patternType="solid">
        <fgColor rgb="FF7BC37D"/>
        <bgColor rgb="FFFFEBEE"/>
      </patternFill>
    </fill>
    <fill>
      <patternFill patternType="solid">
        <fgColor rgb="FFFFF9C4"/>
        <bgColor rgb="FFFFEB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4" fontId="2" fillId="6" borderId="1" xfId="0" applyNumberFormat="1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165" fontId="1" fillId="8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2" fontId="1" fillId="8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167" fontId="2" fillId="4" borderId="1" xfId="0" applyNumberFormat="1" applyFont="1" applyFill="1" applyBorder="1" applyAlignment="1">
      <alignment horizontal="center" vertical="center"/>
    </xf>
    <xf numFmtId="167" fontId="9" fillId="9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8" fontId="0" fillId="4" borderId="1" xfId="0" applyNumberFormat="1" applyFill="1" applyBorder="1" applyAlignment="1">
      <alignment horizontal="center" vertical="center"/>
    </xf>
    <xf numFmtId="169" fontId="0" fillId="4" borderId="1" xfId="0" applyNumberForma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169" fontId="0" fillId="10" borderId="1" xfId="0" applyNumberForma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169" fontId="0" fillId="11" borderId="1" xfId="0" applyNumberForma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169" fontId="0" fillId="13" borderId="1" xfId="0" applyNumberForma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170" fontId="2" fillId="6" borderId="1" xfId="0" applyNumberFormat="1" applyFont="1" applyFill="1" applyBorder="1" applyAlignment="1">
      <alignment horizontal="center" vertical="center"/>
    </xf>
    <xf numFmtId="170" fontId="2" fillId="4" borderId="1" xfId="0" applyNumberFormat="1" applyFont="1" applyFill="1" applyBorder="1" applyAlignment="1">
      <alignment horizontal="center" vertical="center"/>
    </xf>
    <xf numFmtId="170" fontId="1" fillId="3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4">
    <dxf>
      <fill>
        <patternFill>
          <bgColor rgb="FFFFF9C4"/>
        </patternFill>
      </fill>
    </dxf>
    <dxf>
      <fill>
        <patternFill>
          <bgColor rgb="FFFFCDD2"/>
        </patternFill>
      </fill>
    </dxf>
    <dxf>
      <fill>
        <patternFill>
          <bgColor rgb="FF9ED2AE"/>
        </patternFill>
      </fill>
    </dxf>
    <dxf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57575"/>
      <rgbColor rgb="FF9999FF"/>
      <rgbColor rgb="FF993366"/>
      <rgbColor rgb="FFFFF9C4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57F17"/>
      <rgbColor rgb="FF666699"/>
      <rgbColor rgb="FFC9A84C"/>
      <rgbColor rgb="FF1B3A5C"/>
      <rgbColor rgb="FF2E7D32"/>
      <rgbColor rgb="FF003300"/>
      <rgbColor rgb="FF33330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9A8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48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zoomScale="80" zoomScaleNormal="100" workbookViewId="0">
      <pane ySplit="1" topLeftCell="A29" activePane="bottomLeft" state="frozen"/>
      <selection pane="bottomLeft" activeCell="S2" sqref="S2"/>
    </sheetView>
  </sheetViews>
  <sheetFormatPr baseColWidth="10" defaultColWidth="8.7109375" defaultRowHeight="15" x14ac:dyDescent="0.25"/>
  <cols>
    <col min="1" max="1" width="10" customWidth="1"/>
    <col min="2" max="2" width="18" customWidth="1"/>
    <col min="3" max="3" width="26" customWidth="1"/>
    <col min="4" max="4" width="24" customWidth="1"/>
    <col min="5" max="5" width="10" customWidth="1"/>
    <col min="6" max="8" width="16" customWidth="1"/>
    <col min="9" max="9" width="14" customWidth="1"/>
    <col min="10" max="11" width="10" customWidth="1"/>
    <col min="12" max="13" width="14" customWidth="1"/>
    <col min="14" max="14" width="12" customWidth="1"/>
    <col min="15" max="16" width="18" customWidth="1"/>
    <col min="17" max="18" width="14" customWidth="1"/>
    <col min="19" max="19" width="16" customWidth="1"/>
    <col min="20" max="20" width="18" customWidth="1"/>
    <col min="21" max="21" width="16" customWidth="1"/>
  </cols>
  <sheetData>
    <row r="1" spans="1:21" ht="39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202</v>
      </c>
      <c r="N1" s="1" t="s">
        <v>11</v>
      </c>
      <c r="O1" s="1" t="s">
        <v>12</v>
      </c>
      <c r="P1" s="1" t="s">
        <v>201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</row>
    <row r="2" spans="1:21" x14ac:dyDescent="0.25">
      <c r="A2" s="2" t="s">
        <v>18</v>
      </c>
      <c r="B2" s="3" t="s">
        <v>19</v>
      </c>
      <c r="C2" s="3" t="s">
        <v>20</v>
      </c>
      <c r="D2" s="3" t="s">
        <v>21</v>
      </c>
      <c r="E2" s="2" t="s">
        <v>22</v>
      </c>
      <c r="F2" s="4">
        <v>45000</v>
      </c>
      <c r="G2" s="28">
        <f>F2*0.000248</f>
        <v>11.16</v>
      </c>
      <c r="H2" s="2">
        <v>7</v>
      </c>
      <c r="I2" s="2">
        <v>120</v>
      </c>
      <c r="J2" s="2">
        <v>40</v>
      </c>
      <c r="K2" s="2">
        <v>85</v>
      </c>
      <c r="L2" s="2">
        <f>I2+J2-K2</f>
        <v>75</v>
      </c>
      <c r="M2" s="30">
        <f>ROUNDUP(K2/62,0)</f>
        <v>2</v>
      </c>
      <c r="N2" s="31">
        <f>ROUNDUP((M2*H2)*1.5,0)</f>
        <v>21</v>
      </c>
      <c r="O2" s="4">
        <f t="shared" ref="O2:O33" si="0">L2*F2</f>
        <v>3375000</v>
      </c>
      <c r="P2" s="28">
        <f>O2*0.000248</f>
        <v>837</v>
      </c>
      <c r="Q2" s="5">
        <f>IFERROR(K2/((I2+L2)/2),0)</f>
        <v>0.87179487179487181</v>
      </c>
      <c r="R2" s="6" t="str">
        <f t="shared" ref="R2:R33" si="1">IF(L2&lt;=N2,"🔴 Rupture",IF(L2&lt;=N2*1.2,"⚠️ Alerte","✅ OK"))</f>
        <v>✅ OK</v>
      </c>
      <c r="S2" s="7">
        <v>45474</v>
      </c>
      <c r="T2" s="7">
        <v>45505</v>
      </c>
      <c r="U2" s="7">
        <v>45527</v>
      </c>
    </row>
    <row r="3" spans="1:21" x14ac:dyDescent="0.25">
      <c r="A3" s="8" t="s">
        <v>23</v>
      </c>
      <c r="B3" s="9" t="s">
        <v>19</v>
      </c>
      <c r="C3" s="9" t="s">
        <v>24</v>
      </c>
      <c r="D3" s="9" t="s">
        <v>21</v>
      </c>
      <c r="E3" s="8" t="s">
        <v>22</v>
      </c>
      <c r="F3" s="10">
        <v>65000</v>
      </c>
      <c r="G3" s="28">
        <f>F3*0.000248</f>
        <v>16.12</v>
      </c>
      <c r="H3" s="8">
        <v>7</v>
      </c>
      <c r="I3" s="8">
        <v>80</v>
      </c>
      <c r="J3" s="8">
        <v>30</v>
      </c>
      <c r="K3" s="8">
        <v>65</v>
      </c>
      <c r="L3" s="8">
        <f t="shared" ref="L3:L33" si="2">I3+J3-K3</f>
        <v>45</v>
      </c>
      <c r="M3" s="30">
        <f t="shared" ref="M3:M50" si="3">ROUNDUP(K3/62,0)</f>
        <v>2</v>
      </c>
      <c r="N3" s="31">
        <f t="shared" ref="N3:N50" si="4">ROUNDUP((M3*H3)*1.5,0)</f>
        <v>21</v>
      </c>
      <c r="O3" s="10">
        <f t="shared" si="0"/>
        <v>2925000</v>
      </c>
      <c r="P3" s="28">
        <f t="shared" ref="P3:P50" si="5">O3*0.000248</f>
        <v>725.4</v>
      </c>
      <c r="Q3" s="11">
        <f t="shared" ref="Q3:Q33" si="6">IFERROR(K3/((I3+L3)/2),0)</f>
        <v>1.04</v>
      </c>
      <c r="R3" s="12" t="str">
        <f t="shared" si="1"/>
        <v>✅ OK</v>
      </c>
      <c r="S3" s="13">
        <v>45474</v>
      </c>
      <c r="T3" s="13">
        <v>45505</v>
      </c>
      <c r="U3" s="7">
        <f>U2</f>
        <v>45527</v>
      </c>
    </row>
    <row r="4" spans="1:21" x14ac:dyDescent="0.25">
      <c r="A4" s="2" t="s">
        <v>25</v>
      </c>
      <c r="B4" s="3" t="s">
        <v>19</v>
      </c>
      <c r="C4" s="3" t="s">
        <v>26</v>
      </c>
      <c r="D4" s="3" t="s">
        <v>27</v>
      </c>
      <c r="E4" s="2" t="s">
        <v>22</v>
      </c>
      <c r="F4" s="4">
        <v>18000</v>
      </c>
      <c r="G4" s="28">
        <f>F4*0.000248</f>
        <v>4.4640000000000004</v>
      </c>
      <c r="H4" s="2">
        <v>7</v>
      </c>
      <c r="I4" s="2">
        <v>200</v>
      </c>
      <c r="J4" s="2">
        <v>60</v>
      </c>
      <c r="K4" s="2">
        <v>145</v>
      </c>
      <c r="L4" s="2">
        <f t="shared" si="2"/>
        <v>115</v>
      </c>
      <c r="M4" s="30">
        <f t="shared" si="3"/>
        <v>3</v>
      </c>
      <c r="N4" s="31">
        <f t="shared" si="4"/>
        <v>32</v>
      </c>
      <c r="O4" s="4">
        <f t="shared" si="0"/>
        <v>2070000</v>
      </c>
      <c r="P4" s="28">
        <f t="shared" si="5"/>
        <v>513.36</v>
      </c>
      <c r="Q4" s="5">
        <f t="shared" si="6"/>
        <v>0.92063492063492058</v>
      </c>
      <c r="R4" s="6" t="str">
        <f t="shared" si="1"/>
        <v>✅ OK</v>
      </c>
      <c r="S4" s="7">
        <v>45474</v>
      </c>
      <c r="T4" s="7">
        <v>45505</v>
      </c>
      <c r="U4" s="7">
        <f t="shared" ref="U4:U50" si="7">U3</f>
        <v>45527</v>
      </c>
    </row>
    <row r="5" spans="1:21" x14ac:dyDescent="0.25">
      <c r="A5" s="8" t="s">
        <v>28</v>
      </c>
      <c r="B5" s="9" t="s">
        <v>19</v>
      </c>
      <c r="C5" s="9" t="s">
        <v>29</v>
      </c>
      <c r="D5" s="9" t="s">
        <v>27</v>
      </c>
      <c r="E5" s="8" t="s">
        <v>22</v>
      </c>
      <c r="F5" s="10">
        <v>12000</v>
      </c>
      <c r="G5" s="28">
        <f>F5*0.000248</f>
        <v>2.976</v>
      </c>
      <c r="H5" s="8">
        <v>7</v>
      </c>
      <c r="I5" s="8">
        <v>150</v>
      </c>
      <c r="J5" s="8">
        <v>40</v>
      </c>
      <c r="K5" s="8">
        <v>130</v>
      </c>
      <c r="L5" s="8">
        <f t="shared" si="2"/>
        <v>60</v>
      </c>
      <c r="M5" s="30">
        <f t="shared" si="3"/>
        <v>3</v>
      </c>
      <c r="N5" s="31">
        <f t="shared" si="4"/>
        <v>32</v>
      </c>
      <c r="O5" s="10">
        <f t="shared" si="0"/>
        <v>720000</v>
      </c>
      <c r="P5" s="28">
        <f t="shared" si="5"/>
        <v>178.56</v>
      </c>
      <c r="Q5" s="11">
        <f t="shared" si="6"/>
        <v>1.2380952380952381</v>
      </c>
      <c r="R5" s="14" t="str">
        <f t="shared" si="1"/>
        <v>✅ OK</v>
      </c>
      <c r="S5" s="13">
        <v>45474</v>
      </c>
      <c r="T5" s="13">
        <v>45505</v>
      </c>
      <c r="U5" s="7">
        <f t="shared" si="7"/>
        <v>45527</v>
      </c>
    </row>
    <row r="6" spans="1:21" x14ac:dyDescent="0.25">
      <c r="A6" s="2" t="s">
        <v>30</v>
      </c>
      <c r="B6" s="3" t="s">
        <v>19</v>
      </c>
      <c r="C6" s="3" t="s">
        <v>31</v>
      </c>
      <c r="D6" s="3" t="s">
        <v>21</v>
      </c>
      <c r="E6" s="2" t="s">
        <v>22</v>
      </c>
      <c r="F6" s="4">
        <v>15000</v>
      </c>
      <c r="G6" s="28">
        <f t="shared" ref="G6:G50" si="8">F6*0.000248</f>
        <v>3.72</v>
      </c>
      <c r="H6" s="2">
        <v>7</v>
      </c>
      <c r="I6" s="2">
        <v>160</v>
      </c>
      <c r="J6" s="2">
        <v>50</v>
      </c>
      <c r="K6" s="2">
        <v>120</v>
      </c>
      <c r="L6" s="2">
        <f t="shared" si="2"/>
        <v>90</v>
      </c>
      <c r="M6" s="30">
        <f t="shared" si="3"/>
        <v>2</v>
      </c>
      <c r="N6" s="31">
        <f t="shared" si="4"/>
        <v>21</v>
      </c>
      <c r="O6" s="4">
        <f t="shared" si="0"/>
        <v>1350000</v>
      </c>
      <c r="P6" s="28">
        <f t="shared" si="5"/>
        <v>334.8</v>
      </c>
      <c r="Q6" s="5">
        <f t="shared" si="6"/>
        <v>0.96</v>
      </c>
      <c r="R6" s="6" t="str">
        <f t="shared" si="1"/>
        <v>✅ OK</v>
      </c>
      <c r="S6" s="7">
        <v>45474</v>
      </c>
      <c r="T6" s="7">
        <v>45505</v>
      </c>
      <c r="U6" s="7">
        <f t="shared" si="7"/>
        <v>45527</v>
      </c>
    </row>
    <row r="7" spans="1:21" x14ac:dyDescent="0.25">
      <c r="A7" s="8" t="s">
        <v>32</v>
      </c>
      <c r="B7" s="9" t="s">
        <v>19</v>
      </c>
      <c r="C7" s="9" t="s">
        <v>33</v>
      </c>
      <c r="D7" s="9" t="s">
        <v>27</v>
      </c>
      <c r="E7" s="8" t="s">
        <v>22</v>
      </c>
      <c r="F7" s="10">
        <v>85000</v>
      </c>
      <c r="G7" s="28">
        <f t="shared" si="8"/>
        <v>21.080000000000002</v>
      </c>
      <c r="H7" s="8">
        <v>7</v>
      </c>
      <c r="I7" s="8">
        <v>45</v>
      </c>
      <c r="J7" s="8">
        <v>10</v>
      </c>
      <c r="K7" s="8">
        <v>38</v>
      </c>
      <c r="L7" s="8">
        <f t="shared" si="2"/>
        <v>17</v>
      </c>
      <c r="M7" s="30">
        <f t="shared" si="3"/>
        <v>1</v>
      </c>
      <c r="N7" s="31">
        <f t="shared" si="4"/>
        <v>11</v>
      </c>
      <c r="O7" s="10">
        <f t="shared" si="0"/>
        <v>1445000</v>
      </c>
      <c r="P7" s="28">
        <f t="shared" si="5"/>
        <v>358.36</v>
      </c>
      <c r="Q7" s="11">
        <f t="shared" si="6"/>
        <v>1.2258064516129032</v>
      </c>
      <c r="R7" s="14" t="str">
        <f t="shared" si="1"/>
        <v>✅ OK</v>
      </c>
      <c r="S7" s="13">
        <v>45474</v>
      </c>
      <c r="T7" s="13">
        <v>45505</v>
      </c>
      <c r="U7" s="7">
        <f t="shared" si="7"/>
        <v>45527</v>
      </c>
    </row>
    <row r="8" spans="1:21" x14ac:dyDescent="0.25">
      <c r="A8" s="2" t="s">
        <v>34</v>
      </c>
      <c r="B8" s="3" t="s">
        <v>35</v>
      </c>
      <c r="C8" s="3" t="s">
        <v>36</v>
      </c>
      <c r="D8" s="3" t="s">
        <v>37</v>
      </c>
      <c r="E8" s="2" t="s">
        <v>38</v>
      </c>
      <c r="F8" s="4">
        <v>3500</v>
      </c>
      <c r="G8" s="28">
        <f t="shared" si="8"/>
        <v>0.86799999999999999</v>
      </c>
      <c r="H8" s="2">
        <v>3</v>
      </c>
      <c r="I8" s="2">
        <v>300</v>
      </c>
      <c r="J8" s="2">
        <v>120</v>
      </c>
      <c r="K8" s="2">
        <v>280</v>
      </c>
      <c r="L8" s="2">
        <f t="shared" si="2"/>
        <v>140</v>
      </c>
      <c r="M8" s="30">
        <f t="shared" si="3"/>
        <v>5</v>
      </c>
      <c r="N8" s="31">
        <f>ROUNDUP((M8*H8)*1.5,0)</f>
        <v>23</v>
      </c>
      <c r="O8" s="4">
        <f t="shared" si="0"/>
        <v>490000</v>
      </c>
      <c r="P8" s="28">
        <f t="shared" si="5"/>
        <v>121.52000000000001</v>
      </c>
      <c r="Q8" s="5">
        <f t="shared" si="6"/>
        <v>1.2727272727272727</v>
      </c>
      <c r="R8" s="6" t="str">
        <f t="shared" si="1"/>
        <v>✅ OK</v>
      </c>
      <c r="S8" s="7">
        <v>45474</v>
      </c>
      <c r="T8" s="7">
        <v>45505</v>
      </c>
      <c r="U8" s="7">
        <f t="shared" si="7"/>
        <v>45527</v>
      </c>
    </row>
    <row r="9" spans="1:21" x14ac:dyDescent="0.25">
      <c r="A9" s="8" t="s">
        <v>39</v>
      </c>
      <c r="B9" s="9" t="s">
        <v>35</v>
      </c>
      <c r="C9" s="9" t="s">
        <v>40</v>
      </c>
      <c r="D9" s="9" t="s">
        <v>41</v>
      </c>
      <c r="E9" s="8" t="s">
        <v>38</v>
      </c>
      <c r="F9" s="10">
        <v>3500</v>
      </c>
      <c r="G9" s="28">
        <f t="shared" si="8"/>
        <v>0.86799999999999999</v>
      </c>
      <c r="H9" s="8">
        <v>3</v>
      </c>
      <c r="I9" s="8">
        <v>250</v>
      </c>
      <c r="J9" s="8">
        <v>100</v>
      </c>
      <c r="K9" s="8">
        <v>240</v>
      </c>
      <c r="L9" s="8">
        <f t="shared" si="2"/>
        <v>110</v>
      </c>
      <c r="M9" s="30">
        <f t="shared" si="3"/>
        <v>4</v>
      </c>
      <c r="N9" s="31">
        <f t="shared" si="4"/>
        <v>18</v>
      </c>
      <c r="O9" s="10">
        <f t="shared" si="0"/>
        <v>385000</v>
      </c>
      <c r="P9" s="28">
        <f t="shared" si="5"/>
        <v>95.48</v>
      </c>
      <c r="Q9" s="11">
        <f t="shared" si="6"/>
        <v>1.3333333333333333</v>
      </c>
      <c r="R9" s="12" t="str">
        <f t="shared" si="1"/>
        <v>✅ OK</v>
      </c>
      <c r="S9" s="13">
        <v>45474</v>
      </c>
      <c r="T9" s="13">
        <v>45505</v>
      </c>
      <c r="U9" s="7">
        <f t="shared" si="7"/>
        <v>45527</v>
      </c>
    </row>
    <row r="10" spans="1:21" x14ac:dyDescent="0.25">
      <c r="A10" s="2" t="s">
        <v>42</v>
      </c>
      <c r="B10" s="3" t="s">
        <v>35</v>
      </c>
      <c r="C10" s="3" t="s">
        <v>43</v>
      </c>
      <c r="D10" s="3" t="s">
        <v>41</v>
      </c>
      <c r="E10" s="2" t="s">
        <v>38</v>
      </c>
      <c r="F10" s="4">
        <v>3200</v>
      </c>
      <c r="G10" s="28">
        <f t="shared" si="8"/>
        <v>0.79360000000000008</v>
      </c>
      <c r="H10" s="2">
        <v>3</v>
      </c>
      <c r="I10" s="2">
        <v>200</v>
      </c>
      <c r="J10" s="2">
        <v>80</v>
      </c>
      <c r="K10" s="2">
        <v>195</v>
      </c>
      <c r="L10" s="2">
        <f t="shared" si="2"/>
        <v>85</v>
      </c>
      <c r="M10" s="30">
        <f t="shared" si="3"/>
        <v>4</v>
      </c>
      <c r="N10" s="31">
        <f t="shared" si="4"/>
        <v>18</v>
      </c>
      <c r="O10" s="4">
        <f t="shared" si="0"/>
        <v>272000</v>
      </c>
      <c r="P10" s="28">
        <f t="shared" si="5"/>
        <v>67.456000000000003</v>
      </c>
      <c r="Q10" s="5">
        <f t="shared" si="6"/>
        <v>1.368421052631579</v>
      </c>
      <c r="R10" s="12" t="str">
        <f t="shared" si="1"/>
        <v>✅ OK</v>
      </c>
      <c r="S10" s="7">
        <v>45474</v>
      </c>
      <c r="T10" s="7">
        <v>45505</v>
      </c>
      <c r="U10" s="7">
        <f t="shared" si="7"/>
        <v>45527</v>
      </c>
    </row>
    <row r="11" spans="1:21" x14ac:dyDescent="0.25">
      <c r="A11" s="8" t="s">
        <v>44</v>
      </c>
      <c r="B11" s="9" t="s">
        <v>35</v>
      </c>
      <c r="C11" s="9" t="s">
        <v>45</v>
      </c>
      <c r="D11" s="9" t="s">
        <v>46</v>
      </c>
      <c r="E11" s="8" t="s">
        <v>38</v>
      </c>
      <c r="F11" s="10">
        <v>2500</v>
      </c>
      <c r="G11" s="28">
        <f t="shared" si="8"/>
        <v>0.62</v>
      </c>
      <c r="H11" s="8">
        <v>3</v>
      </c>
      <c r="I11" s="8">
        <v>180</v>
      </c>
      <c r="J11" s="8">
        <v>60</v>
      </c>
      <c r="K11" s="8">
        <v>170</v>
      </c>
      <c r="L11" s="8">
        <f t="shared" si="2"/>
        <v>70</v>
      </c>
      <c r="M11" s="30">
        <f t="shared" si="3"/>
        <v>3</v>
      </c>
      <c r="N11" s="31">
        <f t="shared" si="4"/>
        <v>14</v>
      </c>
      <c r="O11" s="10">
        <f t="shared" si="0"/>
        <v>175000</v>
      </c>
      <c r="P11" s="28">
        <f t="shared" si="5"/>
        <v>43.4</v>
      </c>
      <c r="Q11" s="11">
        <f t="shared" si="6"/>
        <v>1.36</v>
      </c>
      <c r="R11" s="12" t="str">
        <f t="shared" si="1"/>
        <v>✅ OK</v>
      </c>
      <c r="S11" s="13">
        <v>45474</v>
      </c>
      <c r="T11" s="13">
        <v>45505</v>
      </c>
      <c r="U11" s="7">
        <f t="shared" si="7"/>
        <v>45527</v>
      </c>
    </row>
    <row r="12" spans="1:21" x14ac:dyDescent="0.25">
      <c r="A12" s="2" t="s">
        <v>47</v>
      </c>
      <c r="B12" s="3" t="s">
        <v>35</v>
      </c>
      <c r="C12" s="3" t="s">
        <v>48</v>
      </c>
      <c r="D12" s="3" t="s">
        <v>46</v>
      </c>
      <c r="E12" s="2" t="s">
        <v>38</v>
      </c>
      <c r="F12" s="4">
        <v>2800</v>
      </c>
      <c r="G12" s="28">
        <f t="shared" si="8"/>
        <v>0.69440000000000002</v>
      </c>
      <c r="H12" s="2">
        <v>3</v>
      </c>
      <c r="I12" s="2">
        <v>150</v>
      </c>
      <c r="J12" s="2">
        <v>50</v>
      </c>
      <c r="K12" s="2">
        <v>140</v>
      </c>
      <c r="L12" s="2">
        <f t="shared" si="2"/>
        <v>60</v>
      </c>
      <c r="M12" s="30">
        <f t="shared" si="3"/>
        <v>3</v>
      </c>
      <c r="N12" s="31">
        <f t="shared" si="4"/>
        <v>14</v>
      </c>
      <c r="O12" s="4">
        <f t="shared" si="0"/>
        <v>168000</v>
      </c>
      <c r="P12" s="28">
        <f t="shared" si="5"/>
        <v>41.664000000000001</v>
      </c>
      <c r="Q12" s="5">
        <f t="shared" si="6"/>
        <v>1.3333333333333333</v>
      </c>
      <c r="R12" s="12" t="str">
        <f t="shared" si="1"/>
        <v>✅ OK</v>
      </c>
      <c r="S12" s="7">
        <v>45474</v>
      </c>
      <c r="T12" s="7">
        <v>45505</v>
      </c>
      <c r="U12" s="7">
        <f t="shared" si="7"/>
        <v>45527</v>
      </c>
    </row>
    <row r="13" spans="1:21" x14ac:dyDescent="0.25">
      <c r="A13" s="8" t="s">
        <v>49</v>
      </c>
      <c r="B13" s="9" t="s">
        <v>35</v>
      </c>
      <c r="C13" s="9" t="s">
        <v>50</v>
      </c>
      <c r="D13" s="9" t="s">
        <v>51</v>
      </c>
      <c r="E13" s="8" t="s">
        <v>38</v>
      </c>
      <c r="F13" s="10">
        <v>2000</v>
      </c>
      <c r="G13" s="28">
        <f t="shared" si="8"/>
        <v>0.496</v>
      </c>
      <c r="H13" s="8">
        <v>3</v>
      </c>
      <c r="I13" s="8">
        <v>120</v>
      </c>
      <c r="J13" s="8">
        <v>40</v>
      </c>
      <c r="K13" s="8">
        <v>115</v>
      </c>
      <c r="L13" s="8">
        <f t="shared" si="2"/>
        <v>45</v>
      </c>
      <c r="M13" s="30">
        <f t="shared" si="3"/>
        <v>2</v>
      </c>
      <c r="N13" s="31">
        <f t="shared" si="4"/>
        <v>9</v>
      </c>
      <c r="O13" s="10">
        <f t="shared" si="0"/>
        <v>90000</v>
      </c>
      <c r="P13" s="28">
        <f t="shared" si="5"/>
        <v>22.32</v>
      </c>
      <c r="Q13" s="11">
        <f t="shared" si="6"/>
        <v>1.393939393939394</v>
      </c>
      <c r="R13" s="12" t="str">
        <f t="shared" si="1"/>
        <v>✅ OK</v>
      </c>
      <c r="S13" s="13">
        <v>45474</v>
      </c>
      <c r="T13" s="13">
        <v>45505</v>
      </c>
      <c r="U13" s="7">
        <f t="shared" si="7"/>
        <v>45527</v>
      </c>
    </row>
    <row r="14" spans="1:21" x14ac:dyDescent="0.25">
      <c r="A14" s="2" t="s">
        <v>52</v>
      </c>
      <c r="B14" s="3" t="s">
        <v>35</v>
      </c>
      <c r="C14" s="3" t="s">
        <v>53</v>
      </c>
      <c r="D14" s="3" t="s">
        <v>51</v>
      </c>
      <c r="E14" s="2" t="s">
        <v>38</v>
      </c>
      <c r="F14" s="4">
        <v>2500</v>
      </c>
      <c r="G14" s="28">
        <f t="shared" si="8"/>
        <v>0.62</v>
      </c>
      <c r="H14" s="2">
        <v>3</v>
      </c>
      <c r="I14" s="2">
        <v>160</v>
      </c>
      <c r="J14" s="2">
        <v>60</v>
      </c>
      <c r="K14" s="2">
        <v>150</v>
      </c>
      <c r="L14" s="2">
        <f t="shared" si="2"/>
        <v>70</v>
      </c>
      <c r="M14" s="30">
        <f t="shared" si="3"/>
        <v>3</v>
      </c>
      <c r="N14" s="31">
        <f t="shared" si="4"/>
        <v>14</v>
      </c>
      <c r="O14" s="4">
        <f t="shared" si="0"/>
        <v>175000</v>
      </c>
      <c r="P14" s="28">
        <f t="shared" si="5"/>
        <v>43.4</v>
      </c>
      <c r="Q14" s="5">
        <f t="shared" si="6"/>
        <v>1.3043478260869565</v>
      </c>
      <c r="R14" s="12" t="str">
        <f t="shared" si="1"/>
        <v>✅ OK</v>
      </c>
      <c r="S14" s="7">
        <v>45474</v>
      </c>
      <c r="T14" s="7">
        <v>45505</v>
      </c>
      <c r="U14" s="7">
        <f t="shared" si="7"/>
        <v>45527</v>
      </c>
    </row>
    <row r="15" spans="1:21" x14ac:dyDescent="0.25">
      <c r="A15" s="8" t="s">
        <v>54</v>
      </c>
      <c r="B15" s="9" t="s">
        <v>35</v>
      </c>
      <c r="C15" s="9" t="s">
        <v>55</v>
      </c>
      <c r="D15" s="9" t="s">
        <v>56</v>
      </c>
      <c r="E15" s="8" t="s">
        <v>38</v>
      </c>
      <c r="F15" s="10">
        <v>1200</v>
      </c>
      <c r="G15" s="28">
        <f t="shared" si="8"/>
        <v>0.29760000000000003</v>
      </c>
      <c r="H15" s="8">
        <v>2</v>
      </c>
      <c r="I15" s="8">
        <v>400</v>
      </c>
      <c r="J15" s="8">
        <v>200</v>
      </c>
      <c r="K15" s="8">
        <v>380</v>
      </c>
      <c r="L15" s="8">
        <f t="shared" si="2"/>
        <v>220</v>
      </c>
      <c r="M15" s="30">
        <f t="shared" si="3"/>
        <v>7</v>
      </c>
      <c r="N15" s="31">
        <f t="shared" si="4"/>
        <v>21</v>
      </c>
      <c r="O15" s="10">
        <f t="shared" si="0"/>
        <v>264000</v>
      </c>
      <c r="P15" s="28">
        <f t="shared" si="5"/>
        <v>65.472000000000008</v>
      </c>
      <c r="Q15" s="11">
        <f t="shared" si="6"/>
        <v>1.2258064516129032</v>
      </c>
      <c r="R15" s="6" t="str">
        <f t="shared" si="1"/>
        <v>✅ OK</v>
      </c>
      <c r="S15" s="13">
        <v>45474</v>
      </c>
      <c r="T15" s="13">
        <v>45505</v>
      </c>
      <c r="U15" s="7">
        <f t="shared" si="7"/>
        <v>45527</v>
      </c>
    </row>
    <row r="16" spans="1:21" x14ac:dyDescent="0.25">
      <c r="A16" s="2" t="s">
        <v>57</v>
      </c>
      <c r="B16" s="3" t="s">
        <v>35</v>
      </c>
      <c r="C16" s="3" t="s">
        <v>58</v>
      </c>
      <c r="D16" s="3" t="s">
        <v>56</v>
      </c>
      <c r="E16" s="2" t="s">
        <v>38</v>
      </c>
      <c r="F16" s="4">
        <v>1800</v>
      </c>
      <c r="G16" s="28">
        <f t="shared" si="8"/>
        <v>0.44640000000000002</v>
      </c>
      <c r="H16" s="2">
        <v>2</v>
      </c>
      <c r="I16" s="2">
        <v>300</v>
      </c>
      <c r="J16" s="2">
        <v>150</v>
      </c>
      <c r="K16" s="2">
        <v>290</v>
      </c>
      <c r="L16" s="2">
        <f t="shared" si="2"/>
        <v>160</v>
      </c>
      <c r="M16" s="30">
        <f t="shared" si="3"/>
        <v>5</v>
      </c>
      <c r="N16" s="31">
        <f t="shared" si="4"/>
        <v>15</v>
      </c>
      <c r="O16" s="4">
        <f t="shared" si="0"/>
        <v>288000</v>
      </c>
      <c r="P16" s="28">
        <f t="shared" si="5"/>
        <v>71.424000000000007</v>
      </c>
      <c r="Q16" s="5">
        <f t="shared" si="6"/>
        <v>1.2608695652173914</v>
      </c>
      <c r="R16" s="6" t="str">
        <f t="shared" si="1"/>
        <v>✅ OK</v>
      </c>
      <c r="S16" s="7">
        <v>45474</v>
      </c>
      <c r="T16" s="7">
        <v>45505</v>
      </c>
      <c r="U16" s="7">
        <f t="shared" si="7"/>
        <v>45527</v>
      </c>
    </row>
    <row r="17" spans="1:21" x14ac:dyDescent="0.25">
      <c r="A17" s="8" t="s">
        <v>59</v>
      </c>
      <c r="B17" s="9" t="s">
        <v>35</v>
      </c>
      <c r="C17" s="9" t="s">
        <v>60</v>
      </c>
      <c r="D17" s="9" t="s">
        <v>61</v>
      </c>
      <c r="E17" s="8" t="s">
        <v>38</v>
      </c>
      <c r="F17" s="10">
        <v>18000</v>
      </c>
      <c r="G17" s="28">
        <f t="shared" si="8"/>
        <v>4.4640000000000004</v>
      </c>
      <c r="H17" s="8">
        <v>5</v>
      </c>
      <c r="I17" s="8">
        <v>80</v>
      </c>
      <c r="J17" s="8">
        <v>20</v>
      </c>
      <c r="K17" s="8">
        <v>72</v>
      </c>
      <c r="L17" s="8">
        <f t="shared" si="2"/>
        <v>28</v>
      </c>
      <c r="M17" s="30">
        <f t="shared" si="3"/>
        <v>2</v>
      </c>
      <c r="N17" s="31">
        <f t="shared" si="4"/>
        <v>15</v>
      </c>
      <c r="O17" s="10">
        <f t="shared" si="0"/>
        <v>504000</v>
      </c>
      <c r="P17" s="28">
        <f t="shared" si="5"/>
        <v>124.992</v>
      </c>
      <c r="Q17" s="11">
        <f t="shared" si="6"/>
        <v>1.3333333333333333</v>
      </c>
      <c r="R17" s="14" t="str">
        <f t="shared" si="1"/>
        <v>✅ OK</v>
      </c>
      <c r="S17" s="13">
        <v>45474</v>
      </c>
      <c r="T17" s="13">
        <v>45505</v>
      </c>
      <c r="U17" s="7">
        <f t="shared" si="7"/>
        <v>45527</v>
      </c>
    </row>
    <row r="18" spans="1:21" x14ac:dyDescent="0.25">
      <c r="A18" s="2" t="s">
        <v>62</v>
      </c>
      <c r="B18" s="3" t="s">
        <v>35</v>
      </c>
      <c r="C18" s="3" t="s">
        <v>63</v>
      </c>
      <c r="D18" s="3" t="s">
        <v>64</v>
      </c>
      <c r="E18" s="2" t="s">
        <v>38</v>
      </c>
      <c r="F18" s="4">
        <v>15000</v>
      </c>
      <c r="G18" s="28">
        <f t="shared" si="8"/>
        <v>3.72</v>
      </c>
      <c r="H18" s="2">
        <v>7</v>
      </c>
      <c r="I18" s="2">
        <v>60</v>
      </c>
      <c r="J18" s="2">
        <v>15</v>
      </c>
      <c r="K18" s="2">
        <v>55</v>
      </c>
      <c r="L18" s="2">
        <f t="shared" si="2"/>
        <v>20</v>
      </c>
      <c r="M18" s="30">
        <f t="shared" si="3"/>
        <v>1</v>
      </c>
      <c r="N18" s="31">
        <f t="shared" si="4"/>
        <v>11</v>
      </c>
      <c r="O18" s="4">
        <f t="shared" si="0"/>
        <v>300000</v>
      </c>
      <c r="P18" s="28">
        <f t="shared" si="5"/>
        <v>74.400000000000006</v>
      </c>
      <c r="Q18" s="5">
        <f t="shared" si="6"/>
        <v>1.375</v>
      </c>
      <c r="R18" s="14" t="str">
        <f t="shared" si="1"/>
        <v>✅ OK</v>
      </c>
      <c r="S18" s="7">
        <v>45474</v>
      </c>
      <c r="T18" s="7">
        <v>45505</v>
      </c>
      <c r="U18" s="7">
        <f t="shared" si="7"/>
        <v>45527</v>
      </c>
    </row>
    <row r="19" spans="1:21" x14ac:dyDescent="0.25">
      <c r="A19" s="8" t="s">
        <v>65</v>
      </c>
      <c r="B19" s="9" t="s">
        <v>66</v>
      </c>
      <c r="C19" s="9" t="s">
        <v>67</v>
      </c>
      <c r="D19" s="9" t="s">
        <v>68</v>
      </c>
      <c r="E19" s="8" t="s">
        <v>69</v>
      </c>
      <c r="F19" s="10">
        <v>2500</v>
      </c>
      <c r="G19" s="28">
        <f t="shared" si="8"/>
        <v>0.62</v>
      </c>
      <c r="H19" s="8">
        <v>1</v>
      </c>
      <c r="I19" s="8">
        <v>50</v>
      </c>
      <c r="J19" s="8">
        <v>30</v>
      </c>
      <c r="K19" s="8">
        <v>45</v>
      </c>
      <c r="L19" s="8">
        <f t="shared" si="2"/>
        <v>35</v>
      </c>
      <c r="M19" s="30">
        <f t="shared" si="3"/>
        <v>1</v>
      </c>
      <c r="N19" s="31">
        <f t="shared" si="4"/>
        <v>2</v>
      </c>
      <c r="O19" s="10">
        <f t="shared" si="0"/>
        <v>87500</v>
      </c>
      <c r="P19" s="28">
        <f t="shared" si="5"/>
        <v>21.7</v>
      </c>
      <c r="Q19" s="11">
        <f t="shared" si="6"/>
        <v>1.0588235294117647</v>
      </c>
      <c r="R19" s="6" t="str">
        <f t="shared" si="1"/>
        <v>✅ OK</v>
      </c>
      <c r="S19" s="13">
        <v>45474</v>
      </c>
      <c r="T19" s="13">
        <v>45505</v>
      </c>
      <c r="U19" s="7">
        <f t="shared" si="7"/>
        <v>45527</v>
      </c>
    </row>
    <row r="20" spans="1:21" x14ac:dyDescent="0.25">
      <c r="A20" s="2" t="s">
        <v>70</v>
      </c>
      <c r="B20" s="3" t="s">
        <v>66</v>
      </c>
      <c r="C20" s="3" t="s">
        <v>71</v>
      </c>
      <c r="D20" s="3" t="s">
        <v>72</v>
      </c>
      <c r="E20" s="2" t="s">
        <v>69</v>
      </c>
      <c r="F20" s="4">
        <v>1800</v>
      </c>
      <c r="G20" s="28">
        <f t="shared" si="8"/>
        <v>0.44640000000000002</v>
      </c>
      <c r="H20" s="2">
        <v>2</v>
      </c>
      <c r="I20" s="2">
        <v>80</v>
      </c>
      <c r="J20" s="2">
        <v>40</v>
      </c>
      <c r="K20" s="2">
        <v>70</v>
      </c>
      <c r="L20" s="2">
        <f t="shared" si="2"/>
        <v>50</v>
      </c>
      <c r="M20" s="30">
        <f t="shared" si="3"/>
        <v>2</v>
      </c>
      <c r="N20" s="31">
        <f t="shared" si="4"/>
        <v>6</v>
      </c>
      <c r="O20" s="4">
        <f t="shared" si="0"/>
        <v>90000</v>
      </c>
      <c r="P20" s="28">
        <f t="shared" si="5"/>
        <v>22.32</v>
      </c>
      <c r="Q20" s="5">
        <f t="shared" si="6"/>
        <v>1.0769230769230769</v>
      </c>
      <c r="R20" s="6" t="str">
        <f t="shared" si="1"/>
        <v>✅ OK</v>
      </c>
      <c r="S20" s="7">
        <v>45474</v>
      </c>
      <c r="T20" s="7">
        <v>45505</v>
      </c>
      <c r="U20" s="7">
        <f t="shared" si="7"/>
        <v>45527</v>
      </c>
    </row>
    <row r="21" spans="1:21" x14ac:dyDescent="0.25">
      <c r="A21" s="8" t="s">
        <v>73</v>
      </c>
      <c r="B21" s="9" t="s">
        <v>66</v>
      </c>
      <c r="C21" s="9" t="s">
        <v>74</v>
      </c>
      <c r="D21" s="9" t="s">
        <v>68</v>
      </c>
      <c r="E21" s="8" t="s">
        <v>69</v>
      </c>
      <c r="F21" s="10">
        <v>8000</v>
      </c>
      <c r="G21" s="28">
        <f t="shared" si="8"/>
        <v>1.984</v>
      </c>
      <c r="H21" s="8">
        <v>1</v>
      </c>
      <c r="I21" s="8">
        <v>20</v>
      </c>
      <c r="J21" s="8">
        <v>10</v>
      </c>
      <c r="K21" s="8">
        <v>18</v>
      </c>
      <c r="L21" s="8">
        <f t="shared" si="2"/>
        <v>12</v>
      </c>
      <c r="M21" s="30">
        <f t="shared" si="3"/>
        <v>1</v>
      </c>
      <c r="N21" s="31">
        <f t="shared" si="4"/>
        <v>2</v>
      </c>
      <c r="O21" s="10">
        <f t="shared" si="0"/>
        <v>96000</v>
      </c>
      <c r="P21" s="28">
        <f t="shared" si="5"/>
        <v>23.808</v>
      </c>
      <c r="Q21" s="11">
        <f t="shared" si="6"/>
        <v>1.125</v>
      </c>
      <c r="R21" s="6" t="str">
        <f t="shared" si="1"/>
        <v>✅ OK</v>
      </c>
      <c r="S21" s="13">
        <v>45474</v>
      </c>
      <c r="T21" s="13">
        <v>45505</v>
      </c>
      <c r="U21" s="7">
        <f t="shared" si="7"/>
        <v>45527</v>
      </c>
    </row>
    <row r="22" spans="1:21" x14ac:dyDescent="0.25">
      <c r="A22" s="2" t="s">
        <v>75</v>
      </c>
      <c r="B22" s="3" t="s">
        <v>66</v>
      </c>
      <c r="C22" s="3" t="s">
        <v>76</v>
      </c>
      <c r="D22" s="3" t="s">
        <v>77</v>
      </c>
      <c r="E22" s="2" t="s">
        <v>78</v>
      </c>
      <c r="F22" s="4">
        <v>6500</v>
      </c>
      <c r="G22" s="28">
        <f t="shared" si="8"/>
        <v>1.6120000000000001</v>
      </c>
      <c r="H22" s="2">
        <v>3</v>
      </c>
      <c r="I22" s="2">
        <v>40</v>
      </c>
      <c r="J22" s="2">
        <v>20</v>
      </c>
      <c r="K22" s="2">
        <v>35</v>
      </c>
      <c r="L22" s="2">
        <f t="shared" si="2"/>
        <v>25</v>
      </c>
      <c r="M22" s="30">
        <f t="shared" si="3"/>
        <v>1</v>
      </c>
      <c r="N22" s="31">
        <f t="shared" si="4"/>
        <v>5</v>
      </c>
      <c r="O22" s="4">
        <f t="shared" si="0"/>
        <v>162500</v>
      </c>
      <c r="P22" s="28">
        <f t="shared" si="5"/>
        <v>40.300000000000004</v>
      </c>
      <c r="Q22" s="5">
        <f t="shared" si="6"/>
        <v>1.0769230769230769</v>
      </c>
      <c r="R22" s="6" t="str">
        <f t="shared" si="1"/>
        <v>✅ OK</v>
      </c>
      <c r="S22" s="7">
        <v>45474</v>
      </c>
      <c r="T22" s="7">
        <v>45505</v>
      </c>
      <c r="U22" s="7">
        <f t="shared" si="7"/>
        <v>45527</v>
      </c>
    </row>
    <row r="23" spans="1:21" x14ac:dyDescent="0.25">
      <c r="A23" s="8" t="s">
        <v>79</v>
      </c>
      <c r="B23" s="9" t="s">
        <v>66</v>
      </c>
      <c r="C23" s="9" t="s">
        <v>80</v>
      </c>
      <c r="D23" s="9" t="s">
        <v>81</v>
      </c>
      <c r="E23" s="8" t="s">
        <v>69</v>
      </c>
      <c r="F23" s="10">
        <v>3200</v>
      </c>
      <c r="G23" s="28">
        <f t="shared" si="8"/>
        <v>0.79360000000000008</v>
      </c>
      <c r="H23" s="8">
        <v>3</v>
      </c>
      <c r="I23" s="8">
        <v>100</v>
      </c>
      <c r="J23" s="8">
        <v>50</v>
      </c>
      <c r="K23" s="8">
        <v>90</v>
      </c>
      <c r="L23" s="8">
        <f t="shared" si="2"/>
        <v>60</v>
      </c>
      <c r="M23" s="30">
        <f t="shared" si="3"/>
        <v>2</v>
      </c>
      <c r="N23" s="31">
        <f t="shared" si="4"/>
        <v>9</v>
      </c>
      <c r="O23" s="10">
        <f t="shared" si="0"/>
        <v>192000</v>
      </c>
      <c r="P23" s="28">
        <f t="shared" si="5"/>
        <v>47.616</v>
      </c>
      <c r="Q23" s="11">
        <f t="shared" si="6"/>
        <v>1.125</v>
      </c>
      <c r="R23" s="6" t="str">
        <f t="shared" si="1"/>
        <v>✅ OK</v>
      </c>
      <c r="S23" s="13">
        <v>45474</v>
      </c>
      <c r="T23" s="13">
        <v>45505</v>
      </c>
      <c r="U23" s="7">
        <f t="shared" si="7"/>
        <v>45527</v>
      </c>
    </row>
    <row r="24" spans="1:21" x14ac:dyDescent="0.25">
      <c r="A24" s="2" t="s">
        <v>82</v>
      </c>
      <c r="B24" s="3" t="s">
        <v>66</v>
      </c>
      <c r="C24" s="3" t="s">
        <v>83</v>
      </c>
      <c r="D24" s="3" t="s">
        <v>84</v>
      </c>
      <c r="E24" s="2" t="s">
        <v>69</v>
      </c>
      <c r="F24" s="4">
        <v>22000</v>
      </c>
      <c r="G24" s="28">
        <f t="shared" si="8"/>
        <v>5.4560000000000004</v>
      </c>
      <c r="H24" s="2">
        <v>4</v>
      </c>
      <c r="I24" s="2">
        <v>10</v>
      </c>
      <c r="J24" s="2">
        <v>5</v>
      </c>
      <c r="K24" s="2">
        <v>8</v>
      </c>
      <c r="L24" s="2">
        <f t="shared" si="2"/>
        <v>7</v>
      </c>
      <c r="M24" s="30">
        <f t="shared" si="3"/>
        <v>1</v>
      </c>
      <c r="N24" s="31">
        <f t="shared" si="4"/>
        <v>6</v>
      </c>
      <c r="O24" s="4">
        <f t="shared" si="0"/>
        <v>154000</v>
      </c>
      <c r="P24" s="28">
        <f t="shared" si="5"/>
        <v>38.192</v>
      </c>
      <c r="Q24" s="5">
        <f t="shared" si="6"/>
        <v>0.94117647058823528</v>
      </c>
      <c r="R24" s="6" t="str">
        <f t="shared" si="1"/>
        <v>⚠️ Alerte</v>
      </c>
      <c r="S24" s="7">
        <v>45474</v>
      </c>
      <c r="T24" s="7">
        <v>45505</v>
      </c>
      <c r="U24" s="7">
        <f t="shared" si="7"/>
        <v>45527</v>
      </c>
    </row>
    <row r="25" spans="1:21" x14ac:dyDescent="0.25">
      <c r="A25" s="8" t="s">
        <v>85</v>
      </c>
      <c r="B25" s="9" t="s">
        <v>66</v>
      </c>
      <c r="C25" s="9" t="s">
        <v>86</v>
      </c>
      <c r="D25" s="9" t="s">
        <v>87</v>
      </c>
      <c r="E25" s="8" t="s">
        <v>69</v>
      </c>
      <c r="F25" s="10">
        <v>15000</v>
      </c>
      <c r="G25" s="28">
        <f t="shared" si="8"/>
        <v>3.72</v>
      </c>
      <c r="H25" s="8">
        <v>4</v>
      </c>
      <c r="I25" s="8">
        <v>8</v>
      </c>
      <c r="J25" s="8">
        <v>4</v>
      </c>
      <c r="K25" s="8">
        <v>7</v>
      </c>
      <c r="L25" s="8">
        <f t="shared" si="2"/>
        <v>5</v>
      </c>
      <c r="M25" s="30">
        <f t="shared" si="3"/>
        <v>1</v>
      </c>
      <c r="N25" s="31">
        <f t="shared" si="4"/>
        <v>6</v>
      </c>
      <c r="O25" s="10">
        <f t="shared" si="0"/>
        <v>75000</v>
      </c>
      <c r="P25" s="28">
        <f t="shared" si="5"/>
        <v>18.600000000000001</v>
      </c>
      <c r="Q25" s="11">
        <f t="shared" si="6"/>
        <v>1.0769230769230769</v>
      </c>
      <c r="R25" s="6" t="str">
        <f t="shared" si="1"/>
        <v>🔴 Rupture</v>
      </c>
      <c r="S25" s="13">
        <v>45474</v>
      </c>
      <c r="T25" s="13">
        <v>45505</v>
      </c>
      <c r="U25" s="7">
        <f t="shared" si="7"/>
        <v>45527</v>
      </c>
    </row>
    <row r="26" spans="1:21" x14ac:dyDescent="0.25">
      <c r="A26" s="2" t="s">
        <v>88</v>
      </c>
      <c r="B26" s="3" t="s">
        <v>66</v>
      </c>
      <c r="C26" s="3" t="s">
        <v>89</v>
      </c>
      <c r="D26" s="3" t="s">
        <v>90</v>
      </c>
      <c r="E26" s="2" t="s">
        <v>69</v>
      </c>
      <c r="F26" s="4">
        <v>4500</v>
      </c>
      <c r="G26" s="28">
        <f t="shared" si="8"/>
        <v>1.1160000000000001</v>
      </c>
      <c r="H26" s="2">
        <v>2</v>
      </c>
      <c r="I26" s="2">
        <v>50</v>
      </c>
      <c r="J26" s="2">
        <v>25</v>
      </c>
      <c r="K26" s="2">
        <v>45</v>
      </c>
      <c r="L26" s="2">
        <f t="shared" si="2"/>
        <v>30</v>
      </c>
      <c r="M26" s="30">
        <f t="shared" si="3"/>
        <v>1</v>
      </c>
      <c r="N26" s="31">
        <f t="shared" si="4"/>
        <v>3</v>
      </c>
      <c r="O26" s="4">
        <f t="shared" si="0"/>
        <v>135000</v>
      </c>
      <c r="P26" s="28">
        <f t="shared" si="5"/>
        <v>33.480000000000004</v>
      </c>
      <c r="Q26" s="5">
        <f t="shared" si="6"/>
        <v>1.125</v>
      </c>
      <c r="R26" s="6" t="str">
        <f t="shared" si="1"/>
        <v>✅ OK</v>
      </c>
      <c r="S26" s="7">
        <v>45474</v>
      </c>
      <c r="T26" s="7">
        <v>45505</v>
      </c>
      <c r="U26" s="7">
        <f t="shared" si="7"/>
        <v>45527</v>
      </c>
    </row>
    <row r="27" spans="1:21" x14ac:dyDescent="0.25">
      <c r="A27" s="8" t="s">
        <v>91</v>
      </c>
      <c r="B27" s="9" t="s">
        <v>66</v>
      </c>
      <c r="C27" s="9" t="s">
        <v>92</v>
      </c>
      <c r="D27" s="9" t="s">
        <v>68</v>
      </c>
      <c r="E27" s="8" t="s">
        <v>69</v>
      </c>
      <c r="F27" s="10">
        <v>3000</v>
      </c>
      <c r="G27" s="28">
        <f t="shared" si="8"/>
        <v>0.74399999999999999</v>
      </c>
      <c r="H27" s="8">
        <v>1</v>
      </c>
      <c r="I27" s="8">
        <v>30</v>
      </c>
      <c r="J27" s="8">
        <v>20</v>
      </c>
      <c r="K27" s="8">
        <v>48</v>
      </c>
      <c r="L27" s="8">
        <f t="shared" si="2"/>
        <v>2</v>
      </c>
      <c r="M27" s="30">
        <f t="shared" si="3"/>
        <v>1</v>
      </c>
      <c r="N27" s="31">
        <f t="shared" si="4"/>
        <v>2</v>
      </c>
      <c r="O27" s="10">
        <f t="shared" si="0"/>
        <v>6000</v>
      </c>
      <c r="P27" s="28">
        <f t="shared" si="5"/>
        <v>1.488</v>
      </c>
      <c r="Q27" s="11">
        <f t="shared" si="6"/>
        <v>3</v>
      </c>
      <c r="R27" s="14" t="str">
        <f t="shared" si="1"/>
        <v>🔴 Rupture</v>
      </c>
      <c r="S27" s="13">
        <v>45474</v>
      </c>
      <c r="T27" s="13">
        <v>45505</v>
      </c>
      <c r="U27" s="7">
        <f t="shared" si="7"/>
        <v>45527</v>
      </c>
    </row>
    <row r="28" spans="1:21" x14ac:dyDescent="0.25">
      <c r="A28" s="2" t="s">
        <v>93</v>
      </c>
      <c r="B28" s="3" t="s">
        <v>66</v>
      </c>
      <c r="C28" s="3" t="s">
        <v>94</v>
      </c>
      <c r="D28" s="3" t="s">
        <v>68</v>
      </c>
      <c r="E28" s="2" t="s">
        <v>69</v>
      </c>
      <c r="F28" s="4">
        <v>2000</v>
      </c>
      <c r="G28" s="28">
        <f t="shared" si="8"/>
        <v>0.496</v>
      </c>
      <c r="H28" s="2">
        <v>1</v>
      </c>
      <c r="I28" s="2">
        <v>25</v>
      </c>
      <c r="J28" s="2">
        <v>15</v>
      </c>
      <c r="K28" s="2">
        <v>35</v>
      </c>
      <c r="L28" s="2">
        <f t="shared" si="2"/>
        <v>5</v>
      </c>
      <c r="M28" s="30">
        <f t="shared" si="3"/>
        <v>1</v>
      </c>
      <c r="N28" s="31">
        <f t="shared" si="4"/>
        <v>2</v>
      </c>
      <c r="O28" s="4">
        <f t="shared" si="0"/>
        <v>10000</v>
      </c>
      <c r="P28" s="28">
        <f t="shared" si="5"/>
        <v>2.48</v>
      </c>
      <c r="Q28" s="5">
        <f t="shared" si="6"/>
        <v>2.3333333333333335</v>
      </c>
      <c r="R28" s="14" t="str">
        <f t="shared" si="1"/>
        <v>✅ OK</v>
      </c>
      <c r="S28" s="7">
        <v>45474</v>
      </c>
      <c r="T28" s="7">
        <v>45505</v>
      </c>
      <c r="U28" s="7">
        <f t="shared" si="7"/>
        <v>45527</v>
      </c>
    </row>
    <row r="29" spans="1:21" x14ac:dyDescent="0.25">
      <c r="A29" s="8" t="s">
        <v>95</v>
      </c>
      <c r="B29" s="9" t="s">
        <v>66</v>
      </c>
      <c r="C29" s="9" t="s">
        <v>96</v>
      </c>
      <c r="D29" s="9" t="s">
        <v>97</v>
      </c>
      <c r="E29" s="8" t="s">
        <v>69</v>
      </c>
      <c r="F29" s="10">
        <v>12000</v>
      </c>
      <c r="G29" s="28">
        <f t="shared" si="8"/>
        <v>2.976</v>
      </c>
      <c r="H29" s="8">
        <v>2</v>
      </c>
      <c r="I29" s="8">
        <v>40</v>
      </c>
      <c r="J29" s="8">
        <v>20</v>
      </c>
      <c r="K29" s="8">
        <v>38</v>
      </c>
      <c r="L29" s="8">
        <f t="shared" si="2"/>
        <v>22</v>
      </c>
      <c r="M29" s="30">
        <f t="shared" si="3"/>
        <v>1</v>
      </c>
      <c r="N29" s="31">
        <f t="shared" si="4"/>
        <v>3</v>
      </c>
      <c r="O29" s="10">
        <f t="shared" si="0"/>
        <v>264000</v>
      </c>
      <c r="P29" s="28">
        <f t="shared" si="5"/>
        <v>65.472000000000008</v>
      </c>
      <c r="Q29" s="11">
        <f>IFERROR(K29/((I29+L29)/2),0)</f>
        <v>1.2258064516129032</v>
      </c>
      <c r="R29" s="6" t="str">
        <f t="shared" si="1"/>
        <v>✅ OK</v>
      </c>
      <c r="S29" s="13">
        <v>45474</v>
      </c>
      <c r="T29" s="13">
        <v>45505</v>
      </c>
      <c r="U29" s="7">
        <f t="shared" si="7"/>
        <v>45527</v>
      </c>
    </row>
    <row r="30" spans="1:21" x14ac:dyDescent="0.25">
      <c r="A30" s="2" t="s">
        <v>98</v>
      </c>
      <c r="B30" s="3" t="s">
        <v>66</v>
      </c>
      <c r="C30" s="3" t="s">
        <v>99</v>
      </c>
      <c r="D30" s="3" t="s">
        <v>100</v>
      </c>
      <c r="E30" s="2" t="s">
        <v>69</v>
      </c>
      <c r="F30" s="4">
        <v>14000</v>
      </c>
      <c r="G30" s="28">
        <f t="shared" si="8"/>
        <v>3.472</v>
      </c>
      <c r="H30" s="2">
        <v>2</v>
      </c>
      <c r="I30" s="2">
        <v>35</v>
      </c>
      <c r="J30" s="2">
        <v>15</v>
      </c>
      <c r="K30" s="2">
        <v>32</v>
      </c>
      <c r="L30" s="2">
        <f t="shared" si="2"/>
        <v>18</v>
      </c>
      <c r="M30" s="30">
        <f t="shared" si="3"/>
        <v>1</v>
      </c>
      <c r="N30" s="31">
        <f t="shared" si="4"/>
        <v>3</v>
      </c>
      <c r="O30" s="4">
        <f t="shared" si="0"/>
        <v>252000</v>
      </c>
      <c r="P30" s="28">
        <f t="shared" si="5"/>
        <v>62.496000000000002</v>
      </c>
      <c r="Q30" s="5">
        <f t="shared" si="6"/>
        <v>1.2075471698113207</v>
      </c>
      <c r="R30" s="6" t="str">
        <f t="shared" si="1"/>
        <v>✅ OK</v>
      </c>
      <c r="S30" s="7">
        <v>45474</v>
      </c>
      <c r="T30" s="7">
        <v>45505</v>
      </c>
      <c r="U30" s="7">
        <f t="shared" si="7"/>
        <v>45527</v>
      </c>
    </row>
    <row r="31" spans="1:21" x14ac:dyDescent="0.25">
      <c r="A31" s="8" t="s">
        <v>101</v>
      </c>
      <c r="B31" s="9" t="s">
        <v>102</v>
      </c>
      <c r="C31" s="9" t="s">
        <v>103</v>
      </c>
      <c r="D31" s="9" t="s">
        <v>104</v>
      </c>
      <c r="E31" s="8" t="s">
        <v>4</v>
      </c>
      <c r="F31" s="10">
        <v>4500</v>
      </c>
      <c r="G31" s="28">
        <f t="shared" si="8"/>
        <v>1.1160000000000001</v>
      </c>
      <c r="H31" s="8">
        <v>3</v>
      </c>
      <c r="I31" s="8">
        <v>50</v>
      </c>
      <c r="J31" s="8">
        <v>20</v>
      </c>
      <c r="K31" s="8">
        <v>45</v>
      </c>
      <c r="L31" s="8">
        <f t="shared" si="2"/>
        <v>25</v>
      </c>
      <c r="M31" s="30">
        <f t="shared" si="3"/>
        <v>1</v>
      </c>
      <c r="N31" s="31">
        <f t="shared" si="4"/>
        <v>5</v>
      </c>
      <c r="O31" s="10">
        <f t="shared" si="0"/>
        <v>112500</v>
      </c>
      <c r="P31" s="28">
        <f t="shared" si="5"/>
        <v>27.900000000000002</v>
      </c>
      <c r="Q31" s="11">
        <f t="shared" si="6"/>
        <v>1.2</v>
      </c>
      <c r="R31" s="6" t="str">
        <f t="shared" si="1"/>
        <v>✅ OK</v>
      </c>
      <c r="S31" s="13">
        <v>45474</v>
      </c>
      <c r="T31" s="13">
        <v>45505</v>
      </c>
      <c r="U31" s="7">
        <f t="shared" si="7"/>
        <v>45527</v>
      </c>
    </row>
    <row r="32" spans="1:21" x14ac:dyDescent="0.25">
      <c r="A32" s="2" t="s">
        <v>105</v>
      </c>
      <c r="B32" s="3" t="s">
        <v>102</v>
      </c>
      <c r="C32" s="3" t="s">
        <v>106</v>
      </c>
      <c r="D32" s="3" t="s">
        <v>104</v>
      </c>
      <c r="E32" s="2" t="s">
        <v>107</v>
      </c>
      <c r="F32" s="4">
        <v>8000</v>
      </c>
      <c r="G32" s="28">
        <f t="shared" si="8"/>
        <v>1.984</v>
      </c>
      <c r="H32" s="2">
        <v>3</v>
      </c>
      <c r="I32" s="2">
        <v>40</v>
      </c>
      <c r="J32" s="2">
        <v>15</v>
      </c>
      <c r="K32" s="2">
        <v>38</v>
      </c>
      <c r="L32" s="2">
        <f t="shared" si="2"/>
        <v>17</v>
      </c>
      <c r="M32" s="30">
        <f t="shared" si="3"/>
        <v>1</v>
      </c>
      <c r="N32" s="31">
        <f t="shared" si="4"/>
        <v>5</v>
      </c>
      <c r="O32" s="4">
        <f t="shared" si="0"/>
        <v>136000</v>
      </c>
      <c r="P32" s="28">
        <f t="shared" si="5"/>
        <v>33.728000000000002</v>
      </c>
      <c r="Q32" s="5">
        <f t="shared" si="6"/>
        <v>1.3333333333333333</v>
      </c>
      <c r="R32" s="12" t="str">
        <f t="shared" si="1"/>
        <v>✅ OK</v>
      </c>
      <c r="S32" s="7">
        <v>45474</v>
      </c>
      <c r="T32" s="7">
        <v>45505</v>
      </c>
      <c r="U32" s="7">
        <f t="shared" si="7"/>
        <v>45527</v>
      </c>
    </row>
    <row r="33" spans="1:21" x14ac:dyDescent="0.25">
      <c r="A33" s="8" t="s">
        <v>108</v>
      </c>
      <c r="B33" s="9" t="s">
        <v>102</v>
      </c>
      <c r="C33" s="9" t="s">
        <v>109</v>
      </c>
      <c r="D33" s="9" t="s">
        <v>110</v>
      </c>
      <c r="E33" s="8" t="s">
        <v>107</v>
      </c>
      <c r="F33" s="10">
        <v>12000</v>
      </c>
      <c r="G33" s="28">
        <f t="shared" si="8"/>
        <v>2.976</v>
      </c>
      <c r="H33" s="8">
        <v>3</v>
      </c>
      <c r="I33" s="8">
        <v>30</v>
      </c>
      <c r="J33" s="8">
        <v>10</v>
      </c>
      <c r="K33" s="8">
        <v>28</v>
      </c>
      <c r="L33" s="8">
        <f t="shared" si="2"/>
        <v>12</v>
      </c>
      <c r="M33" s="30">
        <f t="shared" si="3"/>
        <v>1</v>
      </c>
      <c r="N33" s="31">
        <f t="shared" si="4"/>
        <v>5</v>
      </c>
      <c r="O33" s="10">
        <f t="shared" si="0"/>
        <v>144000</v>
      </c>
      <c r="P33" s="28">
        <f t="shared" si="5"/>
        <v>35.712000000000003</v>
      </c>
      <c r="Q33" s="11">
        <f t="shared" si="6"/>
        <v>1.3333333333333333</v>
      </c>
      <c r="R33" s="12" t="str">
        <f t="shared" si="1"/>
        <v>✅ OK</v>
      </c>
      <c r="S33" s="13">
        <v>45474</v>
      </c>
      <c r="T33" s="13">
        <v>45505</v>
      </c>
      <c r="U33" s="7">
        <f t="shared" si="7"/>
        <v>45527</v>
      </c>
    </row>
    <row r="34" spans="1:21" x14ac:dyDescent="0.25">
      <c r="A34" s="2" t="s">
        <v>111</v>
      </c>
      <c r="B34" s="3" t="s">
        <v>102</v>
      </c>
      <c r="C34" s="3" t="s">
        <v>112</v>
      </c>
      <c r="D34" s="3" t="s">
        <v>77</v>
      </c>
      <c r="E34" s="2" t="s">
        <v>113</v>
      </c>
      <c r="F34" s="4">
        <v>800</v>
      </c>
      <c r="G34" s="28">
        <f t="shared" si="8"/>
        <v>0.19840000000000002</v>
      </c>
      <c r="H34" s="2">
        <v>3</v>
      </c>
      <c r="I34" s="2">
        <v>500</v>
      </c>
      <c r="J34" s="2">
        <v>200</v>
      </c>
      <c r="K34" s="2">
        <v>480</v>
      </c>
      <c r="L34" s="2">
        <f t="shared" ref="L34:L50" si="9">I34+J34-K34</f>
        <v>220</v>
      </c>
      <c r="M34" s="30">
        <f t="shared" si="3"/>
        <v>8</v>
      </c>
      <c r="N34" s="31">
        <f t="shared" si="4"/>
        <v>36</v>
      </c>
      <c r="O34" s="4">
        <f t="shared" ref="O34:O50" si="10">L34*F34</f>
        <v>176000</v>
      </c>
      <c r="P34" s="28">
        <f t="shared" si="5"/>
        <v>43.648000000000003</v>
      </c>
      <c r="Q34" s="5">
        <f t="shared" ref="Q34:Q50" si="11">IFERROR(K34/((I34+L34)/2),0)</f>
        <v>1.3333333333333333</v>
      </c>
      <c r="R34" s="6" t="str">
        <f t="shared" ref="R34:R50" si="12">IF(L34&lt;=N34,"🔴 Rupture",IF(L34&lt;=N34*1.2,"⚠️ Alerte","✅ OK"))</f>
        <v>✅ OK</v>
      </c>
      <c r="S34" s="7">
        <v>45474</v>
      </c>
      <c r="T34" s="7">
        <v>45505</v>
      </c>
      <c r="U34" s="7">
        <f t="shared" si="7"/>
        <v>45527</v>
      </c>
    </row>
    <row r="35" spans="1:21" x14ac:dyDescent="0.25">
      <c r="A35" s="8" t="s">
        <v>114</v>
      </c>
      <c r="B35" s="9" t="s">
        <v>102</v>
      </c>
      <c r="C35" s="9" t="s">
        <v>115</v>
      </c>
      <c r="D35" s="9" t="s">
        <v>116</v>
      </c>
      <c r="E35" s="8" t="s">
        <v>4</v>
      </c>
      <c r="F35" s="10">
        <v>2500</v>
      </c>
      <c r="G35" s="28">
        <f t="shared" si="8"/>
        <v>0.62</v>
      </c>
      <c r="H35" s="8">
        <v>4</v>
      </c>
      <c r="I35" s="8">
        <v>300</v>
      </c>
      <c r="J35" s="8">
        <v>100</v>
      </c>
      <c r="K35" s="8">
        <v>290</v>
      </c>
      <c r="L35" s="8">
        <f t="shared" si="9"/>
        <v>110</v>
      </c>
      <c r="M35" s="30">
        <f t="shared" si="3"/>
        <v>5</v>
      </c>
      <c r="N35" s="31">
        <f t="shared" si="4"/>
        <v>30</v>
      </c>
      <c r="O35" s="10">
        <f t="shared" si="10"/>
        <v>275000</v>
      </c>
      <c r="P35" s="28">
        <f t="shared" si="5"/>
        <v>68.2</v>
      </c>
      <c r="Q35" s="11">
        <f t="shared" si="11"/>
        <v>1.4146341463414633</v>
      </c>
      <c r="R35" s="12" t="str">
        <f t="shared" si="12"/>
        <v>✅ OK</v>
      </c>
      <c r="S35" s="13">
        <v>45474</v>
      </c>
      <c r="T35" s="13">
        <v>45505</v>
      </c>
      <c r="U35" s="7">
        <f t="shared" si="7"/>
        <v>45527</v>
      </c>
    </row>
    <row r="36" spans="1:21" x14ac:dyDescent="0.25">
      <c r="A36" s="2" t="s">
        <v>117</v>
      </c>
      <c r="B36" s="3" t="s">
        <v>102</v>
      </c>
      <c r="C36" s="3" t="s">
        <v>118</v>
      </c>
      <c r="D36" s="3" t="s">
        <v>116</v>
      </c>
      <c r="E36" s="2" t="s">
        <v>107</v>
      </c>
      <c r="F36" s="4">
        <v>6500</v>
      </c>
      <c r="G36" s="28">
        <f t="shared" si="8"/>
        <v>1.6120000000000001</v>
      </c>
      <c r="H36" s="2">
        <v>4</v>
      </c>
      <c r="I36" s="2">
        <v>250</v>
      </c>
      <c r="J36" s="2">
        <v>80</v>
      </c>
      <c r="K36" s="2">
        <v>240</v>
      </c>
      <c r="L36" s="2">
        <f t="shared" si="9"/>
        <v>90</v>
      </c>
      <c r="M36" s="30">
        <f t="shared" si="3"/>
        <v>4</v>
      </c>
      <c r="N36" s="31">
        <f t="shared" si="4"/>
        <v>24</v>
      </c>
      <c r="O36" s="4">
        <f t="shared" si="10"/>
        <v>585000</v>
      </c>
      <c r="P36" s="28">
        <f t="shared" si="5"/>
        <v>145.08000000000001</v>
      </c>
      <c r="Q36" s="5">
        <f t="shared" si="11"/>
        <v>1.411764705882353</v>
      </c>
      <c r="R36" s="12" t="str">
        <f t="shared" si="12"/>
        <v>✅ OK</v>
      </c>
      <c r="S36" s="7">
        <v>45474</v>
      </c>
      <c r="T36" s="7">
        <v>45505</v>
      </c>
      <c r="U36" s="7">
        <f t="shared" si="7"/>
        <v>45527</v>
      </c>
    </row>
    <row r="37" spans="1:21" x14ac:dyDescent="0.25">
      <c r="A37" s="8" t="s">
        <v>119</v>
      </c>
      <c r="B37" s="9" t="s">
        <v>102</v>
      </c>
      <c r="C37" s="9" t="s">
        <v>120</v>
      </c>
      <c r="D37" s="9" t="s">
        <v>116</v>
      </c>
      <c r="E37" s="8" t="s">
        <v>107</v>
      </c>
      <c r="F37" s="10">
        <v>6000</v>
      </c>
      <c r="G37" s="28">
        <f t="shared" si="8"/>
        <v>1.488</v>
      </c>
      <c r="H37" s="8">
        <v>4</v>
      </c>
      <c r="I37" s="8">
        <v>200</v>
      </c>
      <c r="J37" s="8">
        <v>70</v>
      </c>
      <c r="K37" s="8">
        <v>195</v>
      </c>
      <c r="L37" s="8">
        <f t="shared" si="9"/>
        <v>75</v>
      </c>
      <c r="M37" s="30">
        <f t="shared" si="3"/>
        <v>4</v>
      </c>
      <c r="N37" s="31">
        <f t="shared" si="4"/>
        <v>24</v>
      </c>
      <c r="O37" s="10">
        <f t="shared" si="10"/>
        <v>450000</v>
      </c>
      <c r="P37" s="28">
        <f t="shared" si="5"/>
        <v>111.60000000000001</v>
      </c>
      <c r="Q37" s="11">
        <f t="shared" si="11"/>
        <v>1.4181818181818182</v>
      </c>
      <c r="R37" s="12" t="str">
        <f t="shared" si="12"/>
        <v>✅ OK</v>
      </c>
      <c r="S37" s="13">
        <v>45474</v>
      </c>
      <c r="T37" s="13">
        <v>45505</v>
      </c>
      <c r="U37" s="7">
        <f t="shared" si="7"/>
        <v>45527</v>
      </c>
    </row>
    <row r="38" spans="1:21" x14ac:dyDescent="0.25">
      <c r="A38" s="2" t="s">
        <v>121</v>
      </c>
      <c r="B38" s="3" t="s">
        <v>102</v>
      </c>
      <c r="C38" s="3" t="s">
        <v>122</v>
      </c>
      <c r="D38" s="3" t="s">
        <v>123</v>
      </c>
      <c r="E38" s="2" t="s">
        <v>4</v>
      </c>
      <c r="F38" s="4">
        <v>500</v>
      </c>
      <c r="G38" s="28">
        <f t="shared" si="8"/>
        <v>0.124</v>
      </c>
      <c r="H38" s="2">
        <v>3</v>
      </c>
      <c r="I38" s="2">
        <v>400</v>
      </c>
      <c r="J38" s="2">
        <v>100</v>
      </c>
      <c r="K38" s="2">
        <v>380</v>
      </c>
      <c r="L38" s="2">
        <f t="shared" si="9"/>
        <v>120</v>
      </c>
      <c r="M38" s="30">
        <f t="shared" si="3"/>
        <v>7</v>
      </c>
      <c r="N38" s="31">
        <f t="shared" si="4"/>
        <v>32</v>
      </c>
      <c r="O38" s="4">
        <f t="shared" si="10"/>
        <v>60000</v>
      </c>
      <c r="P38" s="28">
        <f t="shared" si="5"/>
        <v>14.88</v>
      </c>
      <c r="Q38" s="5">
        <f t="shared" si="11"/>
        <v>1.4615384615384615</v>
      </c>
      <c r="R38" s="12" t="str">
        <f t="shared" si="12"/>
        <v>✅ OK</v>
      </c>
      <c r="S38" s="7">
        <v>45474</v>
      </c>
      <c r="T38" s="7">
        <v>45505</v>
      </c>
      <c r="U38" s="7">
        <f t="shared" si="7"/>
        <v>45527</v>
      </c>
    </row>
    <row r="39" spans="1:21" x14ac:dyDescent="0.25">
      <c r="A39" s="8" t="s">
        <v>124</v>
      </c>
      <c r="B39" s="9" t="s">
        <v>102</v>
      </c>
      <c r="C39" s="9" t="s">
        <v>125</v>
      </c>
      <c r="D39" s="9" t="s">
        <v>104</v>
      </c>
      <c r="E39" s="8" t="s">
        <v>107</v>
      </c>
      <c r="F39" s="10">
        <v>7000</v>
      </c>
      <c r="G39" s="28">
        <f t="shared" si="8"/>
        <v>1.736</v>
      </c>
      <c r="H39" s="8">
        <v>3</v>
      </c>
      <c r="I39" s="8">
        <v>60</v>
      </c>
      <c r="J39" s="8">
        <v>20</v>
      </c>
      <c r="K39" s="8">
        <v>58</v>
      </c>
      <c r="L39" s="8">
        <f t="shared" si="9"/>
        <v>22</v>
      </c>
      <c r="M39" s="30">
        <f t="shared" si="3"/>
        <v>1</v>
      </c>
      <c r="N39" s="31">
        <f t="shared" si="4"/>
        <v>5</v>
      </c>
      <c r="O39" s="10">
        <f t="shared" si="10"/>
        <v>154000</v>
      </c>
      <c r="P39" s="28">
        <f t="shared" si="5"/>
        <v>38.192</v>
      </c>
      <c r="Q39" s="11">
        <f t="shared" si="11"/>
        <v>1.4146341463414633</v>
      </c>
      <c r="R39" s="12" t="str">
        <f t="shared" si="12"/>
        <v>✅ OK</v>
      </c>
      <c r="S39" s="13">
        <v>45474</v>
      </c>
      <c r="T39" s="13">
        <v>45505</v>
      </c>
      <c r="U39" s="7">
        <f t="shared" si="7"/>
        <v>45527</v>
      </c>
    </row>
    <row r="40" spans="1:21" x14ac:dyDescent="0.25">
      <c r="A40" s="2" t="s">
        <v>126</v>
      </c>
      <c r="B40" s="3" t="s">
        <v>102</v>
      </c>
      <c r="C40" s="3" t="s">
        <v>127</v>
      </c>
      <c r="D40" s="3" t="s">
        <v>110</v>
      </c>
      <c r="E40" s="2" t="s">
        <v>107</v>
      </c>
      <c r="F40" s="4">
        <v>9000</v>
      </c>
      <c r="G40" s="28">
        <f t="shared" si="8"/>
        <v>2.2320000000000002</v>
      </c>
      <c r="H40" s="2">
        <v>3</v>
      </c>
      <c r="I40" s="2">
        <v>25</v>
      </c>
      <c r="J40" s="2">
        <v>10</v>
      </c>
      <c r="K40" s="2">
        <v>24</v>
      </c>
      <c r="L40" s="2">
        <f t="shared" si="9"/>
        <v>11</v>
      </c>
      <c r="M40" s="30">
        <f t="shared" si="3"/>
        <v>1</v>
      </c>
      <c r="N40" s="31">
        <f t="shared" si="4"/>
        <v>5</v>
      </c>
      <c r="O40" s="4">
        <f t="shared" si="10"/>
        <v>99000</v>
      </c>
      <c r="P40" s="28">
        <f t="shared" si="5"/>
        <v>24.552</v>
      </c>
      <c r="Q40" s="5">
        <f t="shared" si="11"/>
        <v>1.3333333333333333</v>
      </c>
      <c r="R40" s="12" t="str">
        <f t="shared" si="12"/>
        <v>✅ OK</v>
      </c>
      <c r="S40" s="7">
        <v>45474</v>
      </c>
      <c r="T40" s="7">
        <v>45505</v>
      </c>
      <c r="U40" s="7">
        <f t="shared" si="7"/>
        <v>45527</v>
      </c>
    </row>
    <row r="41" spans="1:21" x14ac:dyDescent="0.25">
      <c r="A41" s="8" t="s">
        <v>128</v>
      </c>
      <c r="B41" s="9" t="s">
        <v>129</v>
      </c>
      <c r="C41" s="9" t="s">
        <v>130</v>
      </c>
      <c r="D41" s="9" t="s">
        <v>131</v>
      </c>
      <c r="E41" s="8" t="s">
        <v>4</v>
      </c>
      <c r="F41" s="10">
        <v>8500</v>
      </c>
      <c r="G41" s="28">
        <f t="shared" si="8"/>
        <v>2.1080000000000001</v>
      </c>
      <c r="H41" s="8">
        <v>5</v>
      </c>
      <c r="I41" s="8">
        <v>100</v>
      </c>
      <c r="J41" s="8">
        <v>20</v>
      </c>
      <c r="K41" s="8">
        <v>45</v>
      </c>
      <c r="L41" s="8">
        <f t="shared" si="9"/>
        <v>75</v>
      </c>
      <c r="M41" s="30">
        <f t="shared" si="3"/>
        <v>1</v>
      </c>
      <c r="N41" s="31">
        <f t="shared" si="4"/>
        <v>8</v>
      </c>
      <c r="O41" s="10">
        <f t="shared" si="10"/>
        <v>637500</v>
      </c>
      <c r="P41" s="28">
        <f t="shared" si="5"/>
        <v>158.1</v>
      </c>
      <c r="Q41" s="11">
        <f t="shared" si="11"/>
        <v>0.51428571428571423</v>
      </c>
      <c r="R41" s="6" t="str">
        <f t="shared" si="12"/>
        <v>✅ OK</v>
      </c>
      <c r="S41" s="13">
        <v>45474</v>
      </c>
      <c r="T41" s="13">
        <v>45505</v>
      </c>
      <c r="U41" s="7">
        <f t="shared" si="7"/>
        <v>45527</v>
      </c>
    </row>
    <row r="42" spans="1:21" x14ac:dyDescent="0.25">
      <c r="A42" s="2" t="s">
        <v>132</v>
      </c>
      <c r="B42" s="3" t="s">
        <v>129</v>
      </c>
      <c r="C42" s="3" t="s">
        <v>133</v>
      </c>
      <c r="D42" s="3" t="s">
        <v>131</v>
      </c>
      <c r="E42" s="2" t="s">
        <v>4</v>
      </c>
      <c r="F42" s="4">
        <v>1500</v>
      </c>
      <c r="G42" s="28">
        <f t="shared" si="8"/>
        <v>0.372</v>
      </c>
      <c r="H42" s="2">
        <v>5</v>
      </c>
      <c r="I42" s="2">
        <v>200</v>
      </c>
      <c r="J42" s="2">
        <v>50</v>
      </c>
      <c r="K42" s="2">
        <v>180</v>
      </c>
      <c r="L42" s="2">
        <f t="shared" si="9"/>
        <v>70</v>
      </c>
      <c r="M42" s="30">
        <f t="shared" si="3"/>
        <v>3</v>
      </c>
      <c r="N42" s="31">
        <f t="shared" si="4"/>
        <v>23</v>
      </c>
      <c r="O42" s="4">
        <f t="shared" si="10"/>
        <v>105000</v>
      </c>
      <c r="P42" s="28">
        <f t="shared" si="5"/>
        <v>26.040000000000003</v>
      </c>
      <c r="Q42" s="5">
        <f t="shared" si="11"/>
        <v>1.3333333333333333</v>
      </c>
      <c r="R42" s="6" t="str">
        <f t="shared" si="12"/>
        <v>✅ OK</v>
      </c>
      <c r="S42" s="7">
        <v>45474</v>
      </c>
      <c r="T42" s="7">
        <v>45505</v>
      </c>
      <c r="U42" s="7">
        <f t="shared" si="7"/>
        <v>45527</v>
      </c>
    </row>
    <row r="43" spans="1:21" x14ac:dyDescent="0.25">
      <c r="A43" s="8" t="s">
        <v>134</v>
      </c>
      <c r="B43" s="9" t="s">
        <v>129</v>
      </c>
      <c r="C43" s="9" t="s">
        <v>135</v>
      </c>
      <c r="D43" s="9" t="s">
        <v>131</v>
      </c>
      <c r="E43" s="8" t="s">
        <v>4</v>
      </c>
      <c r="F43" s="10">
        <v>35000</v>
      </c>
      <c r="G43" s="28">
        <f t="shared" si="8"/>
        <v>8.68</v>
      </c>
      <c r="H43" s="8">
        <v>7</v>
      </c>
      <c r="I43" s="8">
        <v>30</v>
      </c>
      <c r="J43" s="8">
        <v>5</v>
      </c>
      <c r="K43" s="8">
        <v>8</v>
      </c>
      <c r="L43" s="8">
        <f t="shared" si="9"/>
        <v>27</v>
      </c>
      <c r="M43" s="30">
        <f t="shared" si="3"/>
        <v>1</v>
      </c>
      <c r="N43" s="31">
        <f t="shared" si="4"/>
        <v>11</v>
      </c>
      <c r="O43" s="10">
        <f t="shared" si="10"/>
        <v>945000</v>
      </c>
      <c r="P43" s="28">
        <f t="shared" si="5"/>
        <v>234.36</v>
      </c>
      <c r="Q43" s="11">
        <f t="shared" si="11"/>
        <v>0.2807017543859649</v>
      </c>
      <c r="R43" s="6" t="str">
        <f t="shared" si="12"/>
        <v>✅ OK</v>
      </c>
      <c r="S43" s="13">
        <v>45474</v>
      </c>
      <c r="T43" s="13">
        <v>45505</v>
      </c>
      <c r="U43" s="7">
        <f t="shared" si="7"/>
        <v>45527</v>
      </c>
    </row>
    <row r="44" spans="1:21" x14ac:dyDescent="0.25">
      <c r="A44" s="2" t="s">
        <v>136</v>
      </c>
      <c r="B44" s="3" t="s">
        <v>129</v>
      </c>
      <c r="C44" s="3" t="s">
        <v>137</v>
      </c>
      <c r="D44" s="3" t="s">
        <v>131</v>
      </c>
      <c r="E44" s="2" t="s">
        <v>4</v>
      </c>
      <c r="F44" s="4">
        <v>12000</v>
      </c>
      <c r="G44" s="28">
        <f t="shared" si="8"/>
        <v>2.976</v>
      </c>
      <c r="H44" s="2">
        <v>7</v>
      </c>
      <c r="I44" s="2">
        <v>40</v>
      </c>
      <c r="J44" s="2">
        <v>10</v>
      </c>
      <c r="K44" s="2">
        <v>15</v>
      </c>
      <c r="L44" s="2">
        <f t="shared" si="9"/>
        <v>35</v>
      </c>
      <c r="M44" s="30">
        <f t="shared" si="3"/>
        <v>1</v>
      </c>
      <c r="N44" s="31">
        <f t="shared" si="4"/>
        <v>11</v>
      </c>
      <c r="O44" s="4">
        <f t="shared" si="10"/>
        <v>420000</v>
      </c>
      <c r="P44" s="28">
        <f t="shared" si="5"/>
        <v>104.16000000000001</v>
      </c>
      <c r="Q44" s="5">
        <f t="shared" si="11"/>
        <v>0.4</v>
      </c>
      <c r="R44" s="6" t="str">
        <f t="shared" si="12"/>
        <v>✅ OK</v>
      </c>
      <c r="S44" s="7">
        <v>45474</v>
      </c>
      <c r="T44" s="7">
        <v>45505</v>
      </c>
      <c r="U44" s="7">
        <f t="shared" si="7"/>
        <v>45527</v>
      </c>
    </row>
    <row r="45" spans="1:21" x14ac:dyDescent="0.25">
      <c r="A45" s="8" t="s">
        <v>138</v>
      </c>
      <c r="B45" s="9" t="s">
        <v>139</v>
      </c>
      <c r="C45" s="9" t="s">
        <v>140</v>
      </c>
      <c r="D45" s="9" t="s">
        <v>141</v>
      </c>
      <c r="E45" s="8" t="s">
        <v>4</v>
      </c>
      <c r="F45" s="10">
        <v>1200</v>
      </c>
      <c r="G45" s="28">
        <f t="shared" si="8"/>
        <v>0.29760000000000003</v>
      </c>
      <c r="H45" s="8">
        <v>4</v>
      </c>
      <c r="I45" s="8">
        <v>200</v>
      </c>
      <c r="J45" s="8">
        <v>50</v>
      </c>
      <c r="K45" s="8">
        <v>185</v>
      </c>
      <c r="L45" s="8">
        <f t="shared" si="9"/>
        <v>65</v>
      </c>
      <c r="M45" s="30">
        <f t="shared" si="3"/>
        <v>3</v>
      </c>
      <c r="N45" s="31">
        <f t="shared" si="4"/>
        <v>18</v>
      </c>
      <c r="O45" s="10">
        <f t="shared" si="10"/>
        <v>78000</v>
      </c>
      <c r="P45" s="28">
        <f t="shared" si="5"/>
        <v>19.344000000000001</v>
      </c>
      <c r="Q45" s="11">
        <f t="shared" si="11"/>
        <v>1.3962264150943395</v>
      </c>
      <c r="R45" s="6" t="str">
        <f t="shared" si="12"/>
        <v>✅ OK</v>
      </c>
      <c r="S45" s="13">
        <v>45474</v>
      </c>
      <c r="T45" s="13">
        <v>45505</v>
      </c>
      <c r="U45" s="7">
        <f t="shared" si="7"/>
        <v>45527</v>
      </c>
    </row>
    <row r="46" spans="1:21" x14ac:dyDescent="0.25">
      <c r="A46" s="2" t="s">
        <v>142</v>
      </c>
      <c r="B46" s="3" t="s">
        <v>139</v>
      </c>
      <c r="C46" s="3" t="s">
        <v>143</v>
      </c>
      <c r="D46" s="3" t="s">
        <v>141</v>
      </c>
      <c r="E46" s="2" t="s">
        <v>4</v>
      </c>
      <c r="F46" s="4">
        <v>3500</v>
      </c>
      <c r="G46" s="28">
        <f t="shared" si="8"/>
        <v>0.86799999999999999</v>
      </c>
      <c r="H46" s="2">
        <v>4</v>
      </c>
      <c r="I46" s="2">
        <v>150</v>
      </c>
      <c r="J46" s="2">
        <v>40</v>
      </c>
      <c r="K46" s="2">
        <v>142</v>
      </c>
      <c r="L46" s="2">
        <f t="shared" si="9"/>
        <v>48</v>
      </c>
      <c r="M46" s="30">
        <f t="shared" si="3"/>
        <v>3</v>
      </c>
      <c r="N46" s="31">
        <f t="shared" si="4"/>
        <v>18</v>
      </c>
      <c r="O46" s="4">
        <f t="shared" si="10"/>
        <v>168000</v>
      </c>
      <c r="P46" s="28">
        <f t="shared" si="5"/>
        <v>41.664000000000001</v>
      </c>
      <c r="Q46" s="5">
        <f t="shared" si="11"/>
        <v>1.4343434343434343</v>
      </c>
      <c r="R46" s="12" t="str">
        <f t="shared" si="12"/>
        <v>✅ OK</v>
      </c>
      <c r="S46" s="7">
        <v>45474</v>
      </c>
      <c r="T46" s="7">
        <v>45505</v>
      </c>
      <c r="U46" s="7">
        <f t="shared" si="7"/>
        <v>45527</v>
      </c>
    </row>
    <row r="47" spans="1:21" x14ac:dyDescent="0.25">
      <c r="A47" s="8" t="s">
        <v>144</v>
      </c>
      <c r="B47" s="9" t="s">
        <v>139</v>
      </c>
      <c r="C47" s="9" t="s">
        <v>145</v>
      </c>
      <c r="D47" s="9" t="s">
        <v>141</v>
      </c>
      <c r="E47" s="8" t="s">
        <v>4</v>
      </c>
      <c r="F47" s="10">
        <v>800</v>
      </c>
      <c r="G47" s="28">
        <f t="shared" si="8"/>
        <v>0.19840000000000002</v>
      </c>
      <c r="H47" s="8">
        <v>4</v>
      </c>
      <c r="I47" s="8">
        <v>100</v>
      </c>
      <c r="J47" s="8">
        <v>20</v>
      </c>
      <c r="K47" s="8">
        <v>35</v>
      </c>
      <c r="L47" s="8">
        <f t="shared" si="9"/>
        <v>85</v>
      </c>
      <c r="M47" s="30">
        <f t="shared" si="3"/>
        <v>1</v>
      </c>
      <c r="N47" s="31">
        <f t="shared" si="4"/>
        <v>6</v>
      </c>
      <c r="O47" s="10">
        <f t="shared" si="10"/>
        <v>68000</v>
      </c>
      <c r="P47" s="28">
        <f t="shared" si="5"/>
        <v>16.864000000000001</v>
      </c>
      <c r="Q47" s="11">
        <f t="shared" si="11"/>
        <v>0.3783783783783784</v>
      </c>
      <c r="R47" s="6" t="str">
        <f t="shared" si="12"/>
        <v>✅ OK</v>
      </c>
      <c r="S47" s="13">
        <v>45474</v>
      </c>
      <c r="T47" s="13">
        <v>45505</v>
      </c>
      <c r="U47" s="7">
        <f t="shared" si="7"/>
        <v>45527</v>
      </c>
    </row>
    <row r="48" spans="1:21" x14ac:dyDescent="0.25">
      <c r="A48" s="2" t="s">
        <v>146</v>
      </c>
      <c r="B48" s="3" t="s">
        <v>139</v>
      </c>
      <c r="C48" s="3" t="s">
        <v>147</v>
      </c>
      <c r="D48" s="3" t="s">
        <v>141</v>
      </c>
      <c r="E48" s="2" t="s">
        <v>4</v>
      </c>
      <c r="F48" s="4">
        <v>5000</v>
      </c>
      <c r="G48" s="28">
        <f t="shared" si="8"/>
        <v>1.24</v>
      </c>
      <c r="H48" s="2">
        <v>5</v>
      </c>
      <c r="I48" s="2">
        <v>60</v>
      </c>
      <c r="J48" s="2">
        <v>0</v>
      </c>
      <c r="K48" s="2">
        <v>5</v>
      </c>
      <c r="L48" s="2">
        <f t="shared" si="9"/>
        <v>55</v>
      </c>
      <c r="M48" s="30">
        <f t="shared" si="3"/>
        <v>1</v>
      </c>
      <c r="N48" s="31">
        <f t="shared" si="4"/>
        <v>8</v>
      </c>
      <c r="O48" s="4">
        <f t="shared" si="10"/>
        <v>275000</v>
      </c>
      <c r="P48" s="28">
        <f t="shared" si="5"/>
        <v>68.2</v>
      </c>
      <c r="Q48" s="5">
        <f t="shared" si="11"/>
        <v>8.6956521739130432E-2</v>
      </c>
      <c r="R48" s="6" t="str">
        <f t="shared" si="12"/>
        <v>✅ OK</v>
      </c>
      <c r="S48" s="7">
        <v>45474</v>
      </c>
      <c r="T48" s="7">
        <v>45505</v>
      </c>
      <c r="U48" s="7">
        <f t="shared" si="7"/>
        <v>45527</v>
      </c>
    </row>
    <row r="49" spans="1:21" x14ac:dyDescent="0.25">
      <c r="A49" s="8" t="s">
        <v>148</v>
      </c>
      <c r="B49" s="9" t="s">
        <v>139</v>
      </c>
      <c r="C49" s="9" t="s">
        <v>149</v>
      </c>
      <c r="D49" s="9" t="s">
        <v>141</v>
      </c>
      <c r="E49" s="8" t="s">
        <v>4</v>
      </c>
      <c r="F49" s="10">
        <v>2000</v>
      </c>
      <c r="G49" s="28">
        <f t="shared" si="8"/>
        <v>0.496</v>
      </c>
      <c r="H49" s="8">
        <v>4</v>
      </c>
      <c r="I49" s="8">
        <v>200</v>
      </c>
      <c r="J49" s="8">
        <v>100</v>
      </c>
      <c r="K49" s="8">
        <v>280</v>
      </c>
      <c r="L49" s="8">
        <f t="shared" si="9"/>
        <v>20</v>
      </c>
      <c r="M49" s="30">
        <f t="shared" si="3"/>
        <v>5</v>
      </c>
      <c r="N49" s="31">
        <f t="shared" si="4"/>
        <v>30</v>
      </c>
      <c r="O49" s="10">
        <f t="shared" si="10"/>
        <v>40000</v>
      </c>
      <c r="P49" s="28">
        <f t="shared" si="5"/>
        <v>9.92</v>
      </c>
      <c r="Q49" s="11">
        <f t="shared" si="11"/>
        <v>2.5454545454545454</v>
      </c>
      <c r="R49" s="14" t="str">
        <f t="shared" si="12"/>
        <v>🔴 Rupture</v>
      </c>
      <c r="S49" s="13">
        <v>45474</v>
      </c>
      <c r="T49" s="13">
        <v>45505</v>
      </c>
      <c r="U49" s="7">
        <f t="shared" si="7"/>
        <v>45527</v>
      </c>
    </row>
    <row r="50" spans="1:21" x14ac:dyDescent="0.25">
      <c r="A50" s="2" t="s">
        <v>150</v>
      </c>
      <c r="B50" s="3" t="s">
        <v>139</v>
      </c>
      <c r="C50" s="3" t="s">
        <v>151</v>
      </c>
      <c r="D50" s="3" t="s">
        <v>141</v>
      </c>
      <c r="E50" s="2" t="s">
        <v>152</v>
      </c>
      <c r="F50" s="4">
        <v>8000</v>
      </c>
      <c r="G50" s="28">
        <f t="shared" si="8"/>
        <v>1.984</v>
      </c>
      <c r="H50" s="2">
        <v>5</v>
      </c>
      <c r="I50" s="2">
        <v>10</v>
      </c>
      <c r="J50" s="2">
        <v>5</v>
      </c>
      <c r="K50" s="2">
        <v>8</v>
      </c>
      <c r="L50" s="2">
        <f t="shared" si="9"/>
        <v>7</v>
      </c>
      <c r="M50" s="30">
        <f t="shared" si="3"/>
        <v>1</v>
      </c>
      <c r="N50" s="31">
        <f t="shared" si="4"/>
        <v>8</v>
      </c>
      <c r="O50" s="4">
        <f t="shared" si="10"/>
        <v>56000</v>
      </c>
      <c r="P50" s="28">
        <f t="shared" si="5"/>
        <v>13.888</v>
      </c>
      <c r="Q50" s="5">
        <f t="shared" si="11"/>
        <v>0.94117647058823528</v>
      </c>
      <c r="R50" s="6" t="str">
        <f t="shared" si="12"/>
        <v>🔴 Rupture</v>
      </c>
      <c r="S50" s="7">
        <v>45474</v>
      </c>
      <c r="T50" s="7">
        <v>45505</v>
      </c>
      <c r="U50" s="7">
        <f t="shared" si="7"/>
        <v>45527</v>
      </c>
    </row>
    <row r="51" spans="1:21" x14ac:dyDescent="0.25">
      <c r="A51" s="15"/>
      <c r="B51" s="15"/>
      <c r="C51" s="16" t="s">
        <v>153</v>
      </c>
      <c r="D51" s="15"/>
      <c r="E51" s="15"/>
      <c r="F51" s="15"/>
      <c r="G51" s="15"/>
      <c r="H51" s="17">
        <f>AVERAGE(H2:H50)</f>
        <v>3.8367346938775508</v>
      </c>
      <c r="I51" s="15">
        <f>SUM(I2:I50)</f>
        <v>6388</v>
      </c>
      <c r="J51" s="15">
        <f>SUM(J2:J50)</f>
        <v>2304</v>
      </c>
      <c r="K51" s="15">
        <f>SUM(K2:K50)</f>
        <v>5822</v>
      </c>
      <c r="L51" s="15">
        <f>SUM(L2:L50)</f>
        <v>2870</v>
      </c>
      <c r="M51" s="17">
        <f>AVERAGE(M2:M50)</f>
        <v>2.4285714285714284</v>
      </c>
      <c r="N51" s="17">
        <f>AVERAGE(N2:N50)</f>
        <v>13.693877551020408</v>
      </c>
      <c r="O51" s="18">
        <f>SUM(O2:O50)</f>
        <v>21504000</v>
      </c>
      <c r="P51" s="29">
        <f>O51*0.000248</f>
        <v>5332.9920000000002</v>
      </c>
      <c r="Q51" s="19">
        <f>AVERAGE(Q2:Q50)</f>
        <v>1.2276498450837183</v>
      </c>
      <c r="R51" s="19"/>
      <c r="S51" s="15"/>
      <c r="T51" s="15"/>
      <c r="U51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zoomScale="64" zoomScaleNormal="64" workbookViewId="0">
      <pane ySplit="1" topLeftCell="A2" activePane="bottomLeft" state="frozen"/>
      <selection pane="bottomLeft" activeCell="D3" sqref="D3"/>
    </sheetView>
  </sheetViews>
  <sheetFormatPr baseColWidth="10" defaultColWidth="8.7109375" defaultRowHeight="15" x14ac:dyDescent="0.25"/>
  <cols>
    <col min="1" max="1" width="8" customWidth="1"/>
    <col min="2" max="2" width="26" customWidth="1"/>
    <col min="3" max="3" width="18" customWidth="1"/>
    <col min="4" max="6" width="16" customWidth="1"/>
    <col min="7" max="7" width="18" customWidth="1"/>
    <col min="8" max="8" width="16" customWidth="1"/>
  </cols>
  <sheetData>
    <row r="1" spans="1:8" ht="31.5" customHeight="1" x14ac:dyDescent="0.25">
      <c r="A1" s="32" t="s">
        <v>154</v>
      </c>
      <c r="B1" s="32"/>
      <c r="C1" s="32"/>
      <c r="D1" s="32"/>
      <c r="E1" s="32"/>
      <c r="F1" s="32"/>
      <c r="G1" s="32"/>
      <c r="H1" s="32"/>
    </row>
    <row r="3" spans="1:8" ht="34.5" customHeight="1" x14ac:dyDescent="0.25">
      <c r="A3" s="1" t="s">
        <v>155</v>
      </c>
      <c r="B3" s="1" t="s">
        <v>2</v>
      </c>
      <c r="C3" s="1" t="s">
        <v>1</v>
      </c>
      <c r="D3" s="1" t="s">
        <v>156</v>
      </c>
      <c r="E3" s="1" t="s">
        <v>157</v>
      </c>
      <c r="F3" s="1" t="s">
        <v>158</v>
      </c>
      <c r="G3" s="1" t="s">
        <v>159</v>
      </c>
      <c r="H3" s="1" t="s">
        <v>160</v>
      </c>
    </row>
    <row r="4" spans="1:8" x14ac:dyDescent="0.25">
      <c r="A4" s="2" t="s">
        <v>18</v>
      </c>
      <c r="B4" s="3" t="s">
        <v>20</v>
      </c>
      <c r="C4" s="3" t="s">
        <v>19</v>
      </c>
      <c r="D4" s="20">
        <v>120</v>
      </c>
      <c r="E4" s="20">
        <v>94</v>
      </c>
      <c r="F4" s="20">
        <v>75</v>
      </c>
      <c r="G4" s="21">
        <f t="shared" ref="G4:G35" si="0">IFERROR((E4-D4)/D4,0)</f>
        <v>-0.21666666666666667</v>
      </c>
      <c r="H4" s="21">
        <f t="shared" ref="H4:H35" si="1">IFERROR((F4-E4)/E4,0)</f>
        <v>-0.20212765957446807</v>
      </c>
    </row>
    <row r="5" spans="1:8" x14ac:dyDescent="0.25">
      <c r="A5" s="8" t="s">
        <v>23</v>
      </c>
      <c r="B5" s="9" t="s">
        <v>24</v>
      </c>
      <c r="C5" s="9" t="s">
        <v>19</v>
      </c>
      <c r="D5" s="22">
        <v>80</v>
      </c>
      <c r="E5" s="22">
        <v>60</v>
      </c>
      <c r="F5" s="22">
        <v>45</v>
      </c>
      <c r="G5" s="23">
        <f t="shared" si="0"/>
        <v>-0.25</v>
      </c>
      <c r="H5" s="23">
        <f t="shared" si="1"/>
        <v>-0.25</v>
      </c>
    </row>
    <row r="6" spans="1:8" x14ac:dyDescent="0.25">
      <c r="A6" s="2" t="s">
        <v>25</v>
      </c>
      <c r="B6" s="3" t="s">
        <v>26</v>
      </c>
      <c r="C6" s="3" t="s">
        <v>19</v>
      </c>
      <c r="D6" s="20">
        <v>200</v>
      </c>
      <c r="E6" s="20">
        <v>152</v>
      </c>
      <c r="F6" s="20">
        <v>115</v>
      </c>
      <c r="G6" s="21">
        <f t="shared" si="0"/>
        <v>-0.24</v>
      </c>
      <c r="H6" s="21">
        <f t="shared" si="1"/>
        <v>-0.24342105263157895</v>
      </c>
    </row>
    <row r="7" spans="1:8" x14ac:dyDescent="0.25">
      <c r="A7" s="8" t="s">
        <v>28</v>
      </c>
      <c r="B7" s="9" t="s">
        <v>29</v>
      </c>
      <c r="C7" s="9" t="s">
        <v>19</v>
      </c>
      <c r="D7" s="22">
        <v>150</v>
      </c>
      <c r="E7" s="22">
        <v>101</v>
      </c>
      <c r="F7" s="22">
        <v>60</v>
      </c>
      <c r="G7" s="23">
        <f t="shared" si="0"/>
        <v>-0.32666666666666666</v>
      </c>
      <c r="H7" s="23">
        <f t="shared" si="1"/>
        <v>-0.40594059405940597</v>
      </c>
    </row>
    <row r="8" spans="1:8" x14ac:dyDescent="0.25">
      <c r="A8" s="2" t="s">
        <v>30</v>
      </c>
      <c r="B8" s="3" t="s">
        <v>31</v>
      </c>
      <c r="C8" s="3" t="s">
        <v>19</v>
      </c>
      <c r="D8" s="20">
        <v>160</v>
      </c>
      <c r="E8" s="20">
        <v>120</v>
      </c>
      <c r="F8" s="20">
        <v>90</v>
      </c>
      <c r="G8" s="21">
        <f t="shared" si="0"/>
        <v>-0.25</v>
      </c>
      <c r="H8" s="21">
        <f t="shared" si="1"/>
        <v>-0.25</v>
      </c>
    </row>
    <row r="9" spans="1:8" x14ac:dyDescent="0.25">
      <c r="A9" s="8" t="s">
        <v>32</v>
      </c>
      <c r="B9" s="9" t="s">
        <v>33</v>
      </c>
      <c r="C9" s="9" t="s">
        <v>19</v>
      </c>
      <c r="D9" s="22">
        <v>45</v>
      </c>
      <c r="E9" s="22">
        <v>30</v>
      </c>
      <c r="F9" s="22">
        <v>17</v>
      </c>
      <c r="G9" s="23">
        <f t="shared" si="0"/>
        <v>-0.33333333333333331</v>
      </c>
      <c r="H9" s="23">
        <f t="shared" si="1"/>
        <v>-0.43333333333333335</v>
      </c>
    </row>
    <row r="10" spans="1:8" x14ac:dyDescent="0.25">
      <c r="A10" s="2" t="s">
        <v>34</v>
      </c>
      <c r="B10" s="3" t="s">
        <v>36</v>
      </c>
      <c r="C10" s="3" t="s">
        <v>35</v>
      </c>
      <c r="D10" s="20">
        <v>300</v>
      </c>
      <c r="E10" s="20">
        <v>208</v>
      </c>
      <c r="F10" s="20">
        <v>140</v>
      </c>
      <c r="G10" s="21">
        <f t="shared" si="0"/>
        <v>-0.30666666666666664</v>
      </c>
      <c r="H10" s="21">
        <f t="shared" si="1"/>
        <v>-0.32692307692307693</v>
      </c>
    </row>
    <row r="11" spans="1:8" x14ac:dyDescent="0.25">
      <c r="A11" s="8" t="s">
        <v>39</v>
      </c>
      <c r="B11" s="9" t="s">
        <v>40</v>
      </c>
      <c r="C11" s="9" t="s">
        <v>35</v>
      </c>
      <c r="D11" s="22">
        <v>250</v>
      </c>
      <c r="E11" s="22">
        <v>170</v>
      </c>
      <c r="F11" s="22">
        <v>110</v>
      </c>
      <c r="G11" s="23">
        <f t="shared" si="0"/>
        <v>-0.32</v>
      </c>
      <c r="H11" s="23">
        <f t="shared" si="1"/>
        <v>-0.35294117647058826</v>
      </c>
    </row>
    <row r="12" spans="1:8" x14ac:dyDescent="0.25">
      <c r="A12" s="2" t="s">
        <v>42</v>
      </c>
      <c r="B12" s="3" t="s">
        <v>43</v>
      </c>
      <c r="C12" s="3" t="s">
        <v>35</v>
      </c>
      <c r="D12" s="20">
        <v>200</v>
      </c>
      <c r="E12" s="20">
        <v>134</v>
      </c>
      <c r="F12" s="20">
        <v>85</v>
      </c>
      <c r="G12" s="21">
        <f t="shared" si="0"/>
        <v>-0.33</v>
      </c>
      <c r="H12" s="21">
        <f t="shared" si="1"/>
        <v>-0.36567164179104478</v>
      </c>
    </row>
    <row r="13" spans="1:8" x14ac:dyDescent="0.25">
      <c r="A13" s="8" t="s">
        <v>44</v>
      </c>
      <c r="B13" s="9" t="s">
        <v>45</v>
      </c>
      <c r="C13" s="9" t="s">
        <v>35</v>
      </c>
      <c r="D13" s="22">
        <v>180</v>
      </c>
      <c r="E13" s="22">
        <v>119</v>
      </c>
      <c r="F13" s="22">
        <v>70</v>
      </c>
      <c r="G13" s="23">
        <f t="shared" si="0"/>
        <v>-0.33888888888888891</v>
      </c>
      <c r="H13" s="23">
        <f t="shared" si="1"/>
        <v>-0.41176470588235292</v>
      </c>
    </row>
    <row r="14" spans="1:8" x14ac:dyDescent="0.25">
      <c r="A14" s="2" t="s">
        <v>47</v>
      </c>
      <c r="B14" s="3" t="s">
        <v>48</v>
      </c>
      <c r="C14" s="3" t="s">
        <v>35</v>
      </c>
      <c r="D14" s="20">
        <v>150</v>
      </c>
      <c r="E14" s="20">
        <v>100</v>
      </c>
      <c r="F14" s="20">
        <v>60</v>
      </c>
      <c r="G14" s="21">
        <f t="shared" si="0"/>
        <v>-0.33333333333333331</v>
      </c>
      <c r="H14" s="21">
        <f t="shared" si="1"/>
        <v>-0.4</v>
      </c>
    </row>
    <row r="15" spans="1:8" x14ac:dyDescent="0.25">
      <c r="A15" s="8" t="s">
        <v>49</v>
      </c>
      <c r="B15" s="9" t="s">
        <v>50</v>
      </c>
      <c r="C15" s="9" t="s">
        <v>35</v>
      </c>
      <c r="D15" s="22">
        <v>120</v>
      </c>
      <c r="E15" s="22">
        <v>78</v>
      </c>
      <c r="F15" s="22">
        <v>45</v>
      </c>
      <c r="G15" s="23">
        <f t="shared" si="0"/>
        <v>-0.35</v>
      </c>
      <c r="H15" s="23">
        <f t="shared" si="1"/>
        <v>-0.42307692307692307</v>
      </c>
    </row>
    <row r="16" spans="1:8" x14ac:dyDescent="0.25">
      <c r="A16" s="2" t="s">
        <v>52</v>
      </c>
      <c r="B16" s="3" t="s">
        <v>53</v>
      </c>
      <c r="C16" s="3" t="s">
        <v>35</v>
      </c>
      <c r="D16" s="20">
        <v>160</v>
      </c>
      <c r="E16" s="20">
        <v>109</v>
      </c>
      <c r="F16" s="20">
        <v>70</v>
      </c>
      <c r="G16" s="21">
        <f t="shared" si="0"/>
        <v>-0.31874999999999998</v>
      </c>
      <c r="H16" s="21">
        <f t="shared" si="1"/>
        <v>-0.3577981651376147</v>
      </c>
    </row>
    <row r="17" spans="1:8" x14ac:dyDescent="0.25">
      <c r="A17" s="8" t="s">
        <v>54</v>
      </c>
      <c r="B17" s="9" t="s">
        <v>55</v>
      </c>
      <c r="C17" s="9" t="s">
        <v>35</v>
      </c>
      <c r="D17" s="22">
        <v>400</v>
      </c>
      <c r="E17" s="22">
        <v>290</v>
      </c>
      <c r="F17" s="22">
        <v>220</v>
      </c>
      <c r="G17" s="23">
        <f t="shared" si="0"/>
        <v>-0.27500000000000002</v>
      </c>
      <c r="H17" s="23">
        <f t="shared" si="1"/>
        <v>-0.2413793103448276</v>
      </c>
    </row>
    <row r="18" spans="1:8" x14ac:dyDescent="0.25">
      <c r="A18" s="2" t="s">
        <v>57</v>
      </c>
      <c r="B18" s="3" t="s">
        <v>58</v>
      </c>
      <c r="C18" s="3" t="s">
        <v>35</v>
      </c>
      <c r="D18" s="20">
        <v>300</v>
      </c>
      <c r="E18" s="20">
        <v>215</v>
      </c>
      <c r="F18" s="20">
        <v>160</v>
      </c>
      <c r="G18" s="21">
        <f t="shared" si="0"/>
        <v>-0.28333333333333333</v>
      </c>
      <c r="H18" s="21">
        <f t="shared" si="1"/>
        <v>-0.2558139534883721</v>
      </c>
    </row>
    <row r="19" spans="1:8" x14ac:dyDescent="0.25">
      <c r="A19" s="8" t="s">
        <v>59</v>
      </c>
      <c r="B19" s="9" t="s">
        <v>60</v>
      </c>
      <c r="C19" s="9" t="s">
        <v>35</v>
      </c>
      <c r="D19" s="22">
        <v>80</v>
      </c>
      <c r="E19" s="22">
        <v>52</v>
      </c>
      <c r="F19" s="22">
        <v>28</v>
      </c>
      <c r="G19" s="23">
        <f t="shared" si="0"/>
        <v>-0.35</v>
      </c>
      <c r="H19" s="23">
        <f t="shared" si="1"/>
        <v>-0.46153846153846156</v>
      </c>
    </row>
    <row r="20" spans="1:8" x14ac:dyDescent="0.25">
      <c r="A20" s="2" t="s">
        <v>62</v>
      </c>
      <c r="B20" s="3" t="s">
        <v>63</v>
      </c>
      <c r="C20" s="3" t="s">
        <v>35</v>
      </c>
      <c r="D20" s="20">
        <v>60</v>
      </c>
      <c r="E20" s="20">
        <v>38</v>
      </c>
      <c r="F20" s="20">
        <v>20</v>
      </c>
      <c r="G20" s="21">
        <f t="shared" si="0"/>
        <v>-0.36666666666666664</v>
      </c>
      <c r="H20" s="21">
        <f t="shared" si="1"/>
        <v>-0.47368421052631576</v>
      </c>
    </row>
    <row r="21" spans="1:8" x14ac:dyDescent="0.25">
      <c r="A21" s="8" t="s">
        <v>65</v>
      </c>
      <c r="B21" s="9" t="s">
        <v>67</v>
      </c>
      <c r="C21" s="9" t="s">
        <v>66</v>
      </c>
      <c r="D21" s="22">
        <v>50</v>
      </c>
      <c r="E21" s="22">
        <v>40</v>
      </c>
      <c r="F21" s="22">
        <v>35</v>
      </c>
      <c r="G21" s="23">
        <f t="shared" si="0"/>
        <v>-0.2</v>
      </c>
      <c r="H21" s="23">
        <f t="shared" si="1"/>
        <v>-0.125</v>
      </c>
    </row>
    <row r="22" spans="1:8" x14ac:dyDescent="0.25">
      <c r="A22" s="2" t="s">
        <v>70</v>
      </c>
      <c r="B22" s="3" t="s">
        <v>71</v>
      </c>
      <c r="C22" s="3" t="s">
        <v>66</v>
      </c>
      <c r="D22" s="20">
        <v>80</v>
      </c>
      <c r="E22" s="20">
        <v>61</v>
      </c>
      <c r="F22" s="20">
        <v>50</v>
      </c>
      <c r="G22" s="21">
        <f t="shared" si="0"/>
        <v>-0.23749999999999999</v>
      </c>
      <c r="H22" s="21">
        <f t="shared" si="1"/>
        <v>-0.18032786885245902</v>
      </c>
    </row>
    <row r="23" spans="1:8" x14ac:dyDescent="0.25">
      <c r="A23" s="8" t="s">
        <v>73</v>
      </c>
      <c r="B23" s="9" t="s">
        <v>74</v>
      </c>
      <c r="C23" s="9" t="s">
        <v>66</v>
      </c>
      <c r="D23" s="22">
        <v>20</v>
      </c>
      <c r="E23" s="22">
        <v>15</v>
      </c>
      <c r="F23" s="22">
        <v>12</v>
      </c>
      <c r="G23" s="23">
        <f t="shared" si="0"/>
        <v>-0.25</v>
      </c>
      <c r="H23" s="23">
        <f t="shared" si="1"/>
        <v>-0.2</v>
      </c>
    </row>
    <row r="24" spans="1:8" x14ac:dyDescent="0.25">
      <c r="A24" s="2" t="s">
        <v>75</v>
      </c>
      <c r="B24" s="3" t="s">
        <v>76</v>
      </c>
      <c r="C24" s="3" t="s">
        <v>66</v>
      </c>
      <c r="D24" s="20">
        <v>40</v>
      </c>
      <c r="E24" s="20">
        <v>30</v>
      </c>
      <c r="F24" s="20">
        <v>25</v>
      </c>
      <c r="G24" s="21">
        <f t="shared" si="0"/>
        <v>-0.25</v>
      </c>
      <c r="H24" s="21">
        <f t="shared" si="1"/>
        <v>-0.16666666666666666</v>
      </c>
    </row>
    <row r="25" spans="1:8" x14ac:dyDescent="0.25">
      <c r="A25" s="8" t="s">
        <v>79</v>
      </c>
      <c r="B25" s="9" t="s">
        <v>80</v>
      </c>
      <c r="C25" s="9" t="s">
        <v>66</v>
      </c>
      <c r="D25" s="22">
        <v>100</v>
      </c>
      <c r="E25" s="22">
        <v>75</v>
      </c>
      <c r="F25" s="22">
        <v>60</v>
      </c>
      <c r="G25" s="23">
        <f t="shared" si="0"/>
        <v>-0.25</v>
      </c>
      <c r="H25" s="23">
        <f t="shared" si="1"/>
        <v>-0.2</v>
      </c>
    </row>
    <row r="26" spans="1:8" x14ac:dyDescent="0.25">
      <c r="A26" s="2" t="s">
        <v>82</v>
      </c>
      <c r="B26" s="3" t="s">
        <v>83</v>
      </c>
      <c r="C26" s="3" t="s">
        <v>66</v>
      </c>
      <c r="D26" s="20">
        <v>10</v>
      </c>
      <c r="E26" s="20">
        <v>8</v>
      </c>
      <c r="F26" s="20">
        <v>7</v>
      </c>
      <c r="G26" s="21">
        <f t="shared" si="0"/>
        <v>-0.2</v>
      </c>
      <c r="H26" s="21">
        <f t="shared" si="1"/>
        <v>-0.125</v>
      </c>
    </row>
    <row r="27" spans="1:8" x14ac:dyDescent="0.25">
      <c r="A27" s="8" t="s">
        <v>85</v>
      </c>
      <c r="B27" s="9" t="s">
        <v>86</v>
      </c>
      <c r="C27" s="9" t="s">
        <v>66</v>
      </c>
      <c r="D27" s="22">
        <v>8</v>
      </c>
      <c r="E27" s="22">
        <v>6</v>
      </c>
      <c r="F27" s="22">
        <v>5</v>
      </c>
      <c r="G27" s="23">
        <f t="shared" si="0"/>
        <v>-0.25</v>
      </c>
      <c r="H27" s="23">
        <f t="shared" si="1"/>
        <v>-0.16666666666666666</v>
      </c>
    </row>
    <row r="28" spans="1:8" x14ac:dyDescent="0.25">
      <c r="A28" s="2" t="s">
        <v>88</v>
      </c>
      <c r="B28" s="3" t="s">
        <v>89</v>
      </c>
      <c r="C28" s="3" t="s">
        <v>66</v>
      </c>
      <c r="D28" s="20">
        <v>50</v>
      </c>
      <c r="E28" s="20">
        <v>38</v>
      </c>
      <c r="F28" s="20">
        <v>30</v>
      </c>
      <c r="G28" s="21">
        <f t="shared" si="0"/>
        <v>-0.24</v>
      </c>
      <c r="H28" s="21">
        <f t="shared" si="1"/>
        <v>-0.21052631578947367</v>
      </c>
    </row>
    <row r="29" spans="1:8" x14ac:dyDescent="0.25">
      <c r="A29" s="8" t="s">
        <v>91</v>
      </c>
      <c r="B29" s="9" t="s">
        <v>92</v>
      </c>
      <c r="C29" s="9" t="s">
        <v>66</v>
      </c>
      <c r="D29" s="22">
        <v>30</v>
      </c>
      <c r="E29" s="22">
        <v>14</v>
      </c>
      <c r="F29" s="22">
        <v>2</v>
      </c>
      <c r="G29" s="23">
        <f t="shared" si="0"/>
        <v>-0.53333333333333333</v>
      </c>
      <c r="H29" s="23">
        <f t="shared" si="1"/>
        <v>-0.8571428571428571</v>
      </c>
    </row>
    <row r="30" spans="1:8" x14ac:dyDescent="0.25">
      <c r="A30" s="2" t="s">
        <v>93</v>
      </c>
      <c r="B30" s="3" t="s">
        <v>94</v>
      </c>
      <c r="C30" s="3" t="s">
        <v>66</v>
      </c>
      <c r="D30" s="20">
        <v>25</v>
      </c>
      <c r="E30" s="20">
        <v>13</v>
      </c>
      <c r="F30" s="20">
        <v>5</v>
      </c>
      <c r="G30" s="21">
        <f t="shared" si="0"/>
        <v>-0.48</v>
      </c>
      <c r="H30" s="21">
        <f t="shared" si="1"/>
        <v>-0.61538461538461542</v>
      </c>
    </row>
    <row r="31" spans="1:8" x14ac:dyDescent="0.25">
      <c r="A31" s="8" t="s">
        <v>95</v>
      </c>
      <c r="B31" s="9" t="s">
        <v>96</v>
      </c>
      <c r="C31" s="9" t="s">
        <v>66</v>
      </c>
      <c r="D31" s="22">
        <v>40</v>
      </c>
      <c r="E31" s="22">
        <v>29</v>
      </c>
      <c r="F31" s="22">
        <v>22</v>
      </c>
      <c r="G31" s="23">
        <f t="shared" si="0"/>
        <v>-0.27500000000000002</v>
      </c>
      <c r="H31" s="23">
        <f t="shared" si="1"/>
        <v>-0.2413793103448276</v>
      </c>
    </row>
    <row r="32" spans="1:8" x14ac:dyDescent="0.25">
      <c r="A32" s="2" t="s">
        <v>98</v>
      </c>
      <c r="B32" s="3" t="s">
        <v>99</v>
      </c>
      <c r="C32" s="3" t="s">
        <v>66</v>
      </c>
      <c r="D32" s="20">
        <v>35</v>
      </c>
      <c r="E32" s="20">
        <v>25</v>
      </c>
      <c r="F32" s="20">
        <v>18</v>
      </c>
      <c r="G32" s="21">
        <f t="shared" si="0"/>
        <v>-0.2857142857142857</v>
      </c>
      <c r="H32" s="21">
        <f t="shared" si="1"/>
        <v>-0.28000000000000003</v>
      </c>
    </row>
    <row r="33" spans="1:8" x14ac:dyDescent="0.25">
      <c r="A33" s="8" t="s">
        <v>101</v>
      </c>
      <c r="B33" s="9" t="s">
        <v>103</v>
      </c>
      <c r="C33" s="9" t="s">
        <v>102</v>
      </c>
      <c r="D33" s="22">
        <v>50</v>
      </c>
      <c r="E33" s="22">
        <v>36</v>
      </c>
      <c r="F33" s="22">
        <v>25</v>
      </c>
      <c r="G33" s="23">
        <f t="shared" si="0"/>
        <v>-0.28000000000000003</v>
      </c>
      <c r="H33" s="23">
        <f t="shared" si="1"/>
        <v>-0.30555555555555558</v>
      </c>
    </row>
    <row r="34" spans="1:8" x14ac:dyDescent="0.25">
      <c r="A34" s="2" t="s">
        <v>105</v>
      </c>
      <c r="B34" s="3" t="s">
        <v>106</v>
      </c>
      <c r="C34" s="3" t="s">
        <v>102</v>
      </c>
      <c r="D34" s="20">
        <v>40</v>
      </c>
      <c r="E34" s="20">
        <v>27</v>
      </c>
      <c r="F34" s="20">
        <v>17</v>
      </c>
      <c r="G34" s="21">
        <f t="shared" si="0"/>
        <v>-0.32500000000000001</v>
      </c>
      <c r="H34" s="21">
        <f t="shared" si="1"/>
        <v>-0.37037037037037035</v>
      </c>
    </row>
    <row r="35" spans="1:8" x14ac:dyDescent="0.25">
      <c r="A35" s="8" t="s">
        <v>108</v>
      </c>
      <c r="B35" s="9" t="s">
        <v>109</v>
      </c>
      <c r="C35" s="9" t="s">
        <v>102</v>
      </c>
      <c r="D35" s="22">
        <v>30</v>
      </c>
      <c r="E35" s="22">
        <v>20</v>
      </c>
      <c r="F35" s="22">
        <v>12</v>
      </c>
      <c r="G35" s="23">
        <f t="shared" si="0"/>
        <v>-0.33333333333333331</v>
      </c>
      <c r="H35" s="23">
        <f t="shared" si="1"/>
        <v>-0.4</v>
      </c>
    </row>
    <row r="36" spans="1:8" x14ac:dyDescent="0.25">
      <c r="A36" s="2" t="s">
        <v>111</v>
      </c>
      <c r="B36" s="3" t="s">
        <v>112</v>
      </c>
      <c r="C36" s="3" t="s">
        <v>102</v>
      </c>
      <c r="D36" s="20">
        <v>500</v>
      </c>
      <c r="E36" s="20">
        <v>340</v>
      </c>
      <c r="F36" s="20">
        <v>220</v>
      </c>
      <c r="G36" s="21">
        <f t="shared" ref="G36:G52" si="2">IFERROR((E36-D36)/D36,0)</f>
        <v>-0.32</v>
      </c>
      <c r="H36" s="21">
        <f t="shared" ref="H36:H52" si="3">IFERROR((F36-E36)/E36,0)</f>
        <v>-0.35294117647058826</v>
      </c>
    </row>
    <row r="37" spans="1:8" x14ac:dyDescent="0.25">
      <c r="A37" s="8" t="s">
        <v>114</v>
      </c>
      <c r="B37" s="9" t="s">
        <v>115</v>
      </c>
      <c r="C37" s="9" t="s">
        <v>102</v>
      </c>
      <c r="D37" s="22">
        <v>300</v>
      </c>
      <c r="E37" s="22">
        <v>195</v>
      </c>
      <c r="F37" s="22">
        <v>110</v>
      </c>
      <c r="G37" s="23">
        <f t="shared" si="2"/>
        <v>-0.35</v>
      </c>
      <c r="H37" s="23">
        <f t="shared" si="3"/>
        <v>-0.4358974358974359</v>
      </c>
    </row>
    <row r="38" spans="1:8" x14ac:dyDescent="0.25">
      <c r="A38" s="2" t="s">
        <v>117</v>
      </c>
      <c r="B38" s="3" t="s">
        <v>118</v>
      </c>
      <c r="C38" s="3" t="s">
        <v>102</v>
      </c>
      <c r="D38" s="20">
        <v>250</v>
      </c>
      <c r="E38" s="20">
        <v>162</v>
      </c>
      <c r="F38" s="20">
        <v>90</v>
      </c>
      <c r="G38" s="21">
        <f t="shared" si="2"/>
        <v>-0.35199999999999998</v>
      </c>
      <c r="H38" s="21">
        <f t="shared" si="3"/>
        <v>-0.44444444444444442</v>
      </c>
    </row>
    <row r="39" spans="1:8" x14ac:dyDescent="0.25">
      <c r="A39" s="8" t="s">
        <v>119</v>
      </c>
      <c r="B39" s="9" t="s">
        <v>120</v>
      </c>
      <c r="C39" s="9" t="s">
        <v>102</v>
      </c>
      <c r="D39" s="22">
        <v>200</v>
      </c>
      <c r="E39" s="22">
        <v>130</v>
      </c>
      <c r="F39" s="22">
        <v>75</v>
      </c>
      <c r="G39" s="23">
        <f t="shared" si="2"/>
        <v>-0.35</v>
      </c>
      <c r="H39" s="23">
        <f t="shared" si="3"/>
        <v>-0.42307692307692307</v>
      </c>
    </row>
    <row r="40" spans="1:8" x14ac:dyDescent="0.25">
      <c r="A40" s="2" t="s">
        <v>121</v>
      </c>
      <c r="B40" s="3" t="s">
        <v>122</v>
      </c>
      <c r="C40" s="3" t="s">
        <v>102</v>
      </c>
      <c r="D40" s="20">
        <v>400</v>
      </c>
      <c r="E40" s="20">
        <v>250</v>
      </c>
      <c r="F40" s="20">
        <v>120</v>
      </c>
      <c r="G40" s="21">
        <f t="shared" si="2"/>
        <v>-0.375</v>
      </c>
      <c r="H40" s="21">
        <f t="shared" si="3"/>
        <v>-0.52</v>
      </c>
    </row>
    <row r="41" spans="1:8" x14ac:dyDescent="0.25">
      <c r="A41" s="8" t="s">
        <v>124</v>
      </c>
      <c r="B41" s="9" t="s">
        <v>125</v>
      </c>
      <c r="C41" s="9" t="s">
        <v>102</v>
      </c>
      <c r="D41" s="22">
        <v>60</v>
      </c>
      <c r="E41" s="22">
        <v>39</v>
      </c>
      <c r="F41" s="22">
        <v>22</v>
      </c>
      <c r="G41" s="23">
        <f t="shared" si="2"/>
        <v>-0.35</v>
      </c>
      <c r="H41" s="23">
        <f t="shared" si="3"/>
        <v>-0.4358974358974359</v>
      </c>
    </row>
    <row r="42" spans="1:8" x14ac:dyDescent="0.25">
      <c r="A42" s="2" t="s">
        <v>126</v>
      </c>
      <c r="B42" s="3" t="s">
        <v>127</v>
      </c>
      <c r="C42" s="3" t="s">
        <v>102</v>
      </c>
      <c r="D42" s="20">
        <v>25</v>
      </c>
      <c r="E42" s="20">
        <v>17</v>
      </c>
      <c r="F42" s="20">
        <v>11</v>
      </c>
      <c r="G42" s="21">
        <f t="shared" si="2"/>
        <v>-0.32</v>
      </c>
      <c r="H42" s="21">
        <f t="shared" si="3"/>
        <v>-0.35294117647058826</v>
      </c>
    </row>
    <row r="43" spans="1:8" x14ac:dyDescent="0.25">
      <c r="A43" s="8" t="s">
        <v>128</v>
      </c>
      <c r="B43" s="9" t="s">
        <v>130</v>
      </c>
      <c r="C43" s="9" t="s">
        <v>129</v>
      </c>
      <c r="D43" s="22">
        <v>100</v>
      </c>
      <c r="E43" s="22">
        <v>86</v>
      </c>
      <c r="F43" s="22">
        <v>75</v>
      </c>
      <c r="G43" s="23">
        <f t="shared" si="2"/>
        <v>-0.14000000000000001</v>
      </c>
      <c r="H43" s="23">
        <f t="shared" si="3"/>
        <v>-0.12790697674418605</v>
      </c>
    </row>
    <row r="44" spans="1:8" x14ac:dyDescent="0.25">
      <c r="A44" s="2" t="s">
        <v>132</v>
      </c>
      <c r="B44" s="3" t="s">
        <v>133</v>
      </c>
      <c r="C44" s="3" t="s">
        <v>129</v>
      </c>
      <c r="D44" s="20">
        <v>200</v>
      </c>
      <c r="E44" s="20">
        <v>130</v>
      </c>
      <c r="F44" s="20">
        <v>70</v>
      </c>
      <c r="G44" s="21">
        <f t="shared" si="2"/>
        <v>-0.35</v>
      </c>
      <c r="H44" s="21">
        <f t="shared" si="3"/>
        <v>-0.46153846153846156</v>
      </c>
    </row>
    <row r="45" spans="1:8" x14ac:dyDescent="0.25">
      <c r="A45" s="8" t="s">
        <v>134</v>
      </c>
      <c r="B45" s="9" t="s">
        <v>135</v>
      </c>
      <c r="C45" s="9" t="s">
        <v>129</v>
      </c>
      <c r="D45" s="22">
        <v>30</v>
      </c>
      <c r="E45" s="22">
        <v>28</v>
      </c>
      <c r="F45" s="22">
        <v>27</v>
      </c>
      <c r="G45" s="23">
        <f t="shared" si="2"/>
        <v>-6.6666666666666666E-2</v>
      </c>
      <c r="H45" s="23">
        <f t="shared" si="3"/>
        <v>-3.5714285714285712E-2</v>
      </c>
    </row>
    <row r="46" spans="1:8" x14ac:dyDescent="0.25">
      <c r="A46" s="2" t="s">
        <v>136</v>
      </c>
      <c r="B46" s="3" t="s">
        <v>137</v>
      </c>
      <c r="C46" s="3" t="s">
        <v>129</v>
      </c>
      <c r="D46" s="20">
        <v>40</v>
      </c>
      <c r="E46" s="20">
        <v>36</v>
      </c>
      <c r="F46" s="20">
        <v>35</v>
      </c>
      <c r="G46" s="21">
        <f t="shared" si="2"/>
        <v>-0.1</v>
      </c>
      <c r="H46" s="21">
        <f t="shared" si="3"/>
        <v>-2.7777777777777776E-2</v>
      </c>
    </row>
    <row r="47" spans="1:8" x14ac:dyDescent="0.25">
      <c r="A47" s="8" t="s">
        <v>138</v>
      </c>
      <c r="B47" s="9" t="s">
        <v>140</v>
      </c>
      <c r="C47" s="9" t="s">
        <v>139</v>
      </c>
      <c r="D47" s="22">
        <v>200</v>
      </c>
      <c r="E47" s="22">
        <v>128</v>
      </c>
      <c r="F47" s="22">
        <v>65</v>
      </c>
      <c r="G47" s="23">
        <f t="shared" si="2"/>
        <v>-0.36</v>
      </c>
      <c r="H47" s="23">
        <f t="shared" si="3"/>
        <v>-0.4921875</v>
      </c>
    </row>
    <row r="48" spans="1:8" x14ac:dyDescent="0.25">
      <c r="A48" s="2" t="s">
        <v>142</v>
      </c>
      <c r="B48" s="3" t="s">
        <v>143</v>
      </c>
      <c r="C48" s="3" t="s">
        <v>139</v>
      </c>
      <c r="D48" s="20">
        <v>150</v>
      </c>
      <c r="E48" s="20">
        <v>95</v>
      </c>
      <c r="F48" s="20">
        <v>48</v>
      </c>
      <c r="G48" s="21">
        <f t="shared" si="2"/>
        <v>-0.36666666666666664</v>
      </c>
      <c r="H48" s="21">
        <f t="shared" si="3"/>
        <v>-0.49473684210526314</v>
      </c>
    </row>
    <row r="49" spans="1:8" x14ac:dyDescent="0.25">
      <c r="A49" s="8" t="s">
        <v>144</v>
      </c>
      <c r="B49" s="9" t="s">
        <v>145</v>
      </c>
      <c r="C49" s="9" t="s">
        <v>139</v>
      </c>
      <c r="D49" s="22">
        <v>100</v>
      </c>
      <c r="E49" s="22">
        <v>90</v>
      </c>
      <c r="F49" s="22">
        <v>85</v>
      </c>
      <c r="G49" s="23">
        <f t="shared" si="2"/>
        <v>-0.1</v>
      </c>
      <c r="H49" s="23">
        <f t="shared" si="3"/>
        <v>-5.5555555555555552E-2</v>
      </c>
    </row>
    <row r="50" spans="1:8" x14ac:dyDescent="0.25">
      <c r="A50" s="2" t="s">
        <v>146</v>
      </c>
      <c r="B50" s="3" t="s">
        <v>147</v>
      </c>
      <c r="C50" s="3" t="s">
        <v>139</v>
      </c>
      <c r="D50" s="20">
        <v>60</v>
      </c>
      <c r="E50" s="20">
        <v>58</v>
      </c>
      <c r="F50" s="20">
        <v>55</v>
      </c>
      <c r="G50" s="21">
        <f t="shared" si="2"/>
        <v>-3.3333333333333333E-2</v>
      </c>
      <c r="H50" s="21">
        <f t="shared" si="3"/>
        <v>-5.1724137931034482E-2</v>
      </c>
    </row>
    <row r="51" spans="1:8" x14ac:dyDescent="0.25">
      <c r="A51" s="8" t="s">
        <v>148</v>
      </c>
      <c r="B51" s="9" t="s">
        <v>149</v>
      </c>
      <c r="C51" s="9" t="s">
        <v>139</v>
      </c>
      <c r="D51" s="22">
        <v>200</v>
      </c>
      <c r="E51" s="22">
        <v>100</v>
      </c>
      <c r="F51" s="22">
        <v>20</v>
      </c>
      <c r="G51" s="23">
        <f t="shared" si="2"/>
        <v>-0.5</v>
      </c>
      <c r="H51" s="23">
        <f t="shared" si="3"/>
        <v>-0.8</v>
      </c>
    </row>
    <row r="52" spans="1:8" x14ac:dyDescent="0.25">
      <c r="A52" s="2" t="s">
        <v>150</v>
      </c>
      <c r="B52" s="3" t="s">
        <v>151</v>
      </c>
      <c r="C52" s="3" t="s">
        <v>139</v>
      </c>
      <c r="D52" s="20">
        <v>10</v>
      </c>
      <c r="E52" s="20">
        <v>8</v>
      </c>
      <c r="F52" s="20">
        <v>7</v>
      </c>
      <c r="G52" s="21">
        <f t="shared" si="2"/>
        <v>-0.2</v>
      </c>
      <c r="H52" s="21">
        <f t="shared" si="3"/>
        <v>-0.125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zoomScaleNormal="100" workbookViewId="0">
      <selection activeCell="A2" sqref="A2:G2"/>
    </sheetView>
  </sheetViews>
  <sheetFormatPr baseColWidth="10" defaultColWidth="8.7109375" defaultRowHeight="15" x14ac:dyDescent="0.25"/>
  <cols>
    <col min="1" max="1" width="28" customWidth="1"/>
    <col min="2" max="2" width="22" customWidth="1"/>
    <col min="3" max="3" width="16" customWidth="1"/>
    <col min="4" max="5" width="14" customWidth="1"/>
    <col min="6" max="6" width="18" customWidth="1"/>
    <col min="7" max="7" width="22" customWidth="1"/>
  </cols>
  <sheetData>
    <row r="1" spans="1:7" ht="31.5" customHeight="1" x14ac:dyDescent="0.25">
      <c r="A1" s="32" t="s">
        <v>161</v>
      </c>
      <c r="B1" s="32"/>
      <c r="C1" s="32"/>
      <c r="D1" s="32"/>
      <c r="E1" s="32"/>
      <c r="F1" s="32"/>
      <c r="G1" s="32"/>
    </row>
    <row r="3" spans="1:7" ht="31.5" customHeight="1" x14ac:dyDescent="0.25">
      <c r="A3" s="1" t="s">
        <v>3</v>
      </c>
      <c r="B3" s="1" t="s">
        <v>162</v>
      </c>
      <c r="C3" s="1" t="s">
        <v>163</v>
      </c>
      <c r="D3" s="1" t="s">
        <v>164</v>
      </c>
      <c r="E3" s="1" t="s">
        <v>165</v>
      </c>
      <c r="F3" s="1" t="s">
        <v>166</v>
      </c>
      <c r="G3" s="1" t="s">
        <v>167</v>
      </c>
    </row>
    <row r="4" spans="1:7" x14ac:dyDescent="0.25">
      <c r="A4" s="24" t="s">
        <v>21</v>
      </c>
      <c r="B4" s="3" t="s">
        <v>19</v>
      </c>
      <c r="C4" s="2" t="s">
        <v>168</v>
      </c>
      <c r="D4" s="2">
        <v>7</v>
      </c>
      <c r="E4" s="2" t="s">
        <v>169</v>
      </c>
      <c r="F4" s="2">
        <v>2</v>
      </c>
      <c r="G4" s="25" t="s">
        <v>170</v>
      </c>
    </row>
    <row r="5" spans="1:7" x14ac:dyDescent="0.25">
      <c r="A5" s="26" t="s">
        <v>27</v>
      </c>
      <c r="B5" s="9" t="s">
        <v>19</v>
      </c>
      <c r="C5" s="8" t="s">
        <v>168</v>
      </c>
      <c r="D5" s="8">
        <v>7</v>
      </c>
      <c r="E5" s="8" t="s">
        <v>171</v>
      </c>
      <c r="F5" s="8">
        <v>4</v>
      </c>
      <c r="G5" s="25" t="s">
        <v>170</v>
      </c>
    </row>
    <row r="6" spans="1:7" x14ac:dyDescent="0.25">
      <c r="A6" s="24" t="s">
        <v>37</v>
      </c>
      <c r="B6" s="3" t="s">
        <v>172</v>
      </c>
      <c r="C6" s="2" t="s">
        <v>168</v>
      </c>
      <c r="D6" s="2">
        <v>3</v>
      </c>
      <c r="E6" s="2" t="s">
        <v>171</v>
      </c>
      <c r="F6" s="2">
        <v>1</v>
      </c>
      <c r="G6" s="25" t="s">
        <v>170</v>
      </c>
    </row>
    <row r="7" spans="1:7" x14ac:dyDescent="0.25">
      <c r="A7" s="26" t="s">
        <v>41</v>
      </c>
      <c r="B7" s="9" t="s">
        <v>173</v>
      </c>
      <c r="C7" s="8" t="s">
        <v>168</v>
      </c>
      <c r="D7" s="8">
        <v>3</v>
      </c>
      <c r="E7" s="8" t="s">
        <v>169</v>
      </c>
      <c r="F7" s="8">
        <v>2</v>
      </c>
      <c r="G7" s="25" t="s">
        <v>170</v>
      </c>
    </row>
    <row r="8" spans="1:7" x14ac:dyDescent="0.25">
      <c r="A8" s="24" t="s">
        <v>46</v>
      </c>
      <c r="B8" s="3" t="s">
        <v>174</v>
      </c>
      <c r="C8" s="2" t="s">
        <v>168</v>
      </c>
      <c r="D8" s="2">
        <v>3</v>
      </c>
      <c r="E8" s="2" t="s">
        <v>171</v>
      </c>
      <c r="F8" s="2">
        <v>2</v>
      </c>
      <c r="G8" s="25" t="s">
        <v>170</v>
      </c>
    </row>
    <row r="9" spans="1:7" x14ac:dyDescent="0.25">
      <c r="A9" s="26" t="s">
        <v>51</v>
      </c>
      <c r="B9" s="9" t="s">
        <v>175</v>
      </c>
      <c r="C9" s="8" t="s">
        <v>168</v>
      </c>
      <c r="D9" s="8">
        <v>3</v>
      </c>
      <c r="E9" s="8" t="s">
        <v>176</v>
      </c>
      <c r="F9" s="8">
        <v>2</v>
      </c>
      <c r="G9" s="27" t="s">
        <v>177</v>
      </c>
    </row>
    <row r="10" spans="1:7" x14ac:dyDescent="0.25">
      <c r="A10" s="24" t="s">
        <v>56</v>
      </c>
      <c r="B10" s="3" t="s">
        <v>178</v>
      </c>
      <c r="C10" s="2" t="s">
        <v>179</v>
      </c>
      <c r="D10" s="2">
        <v>2</v>
      </c>
      <c r="E10" s="2" t="s">
        <v>171</v>
      </c>
      <c r="F10" s="2">
        <v>2</v>
      </c>
      <c r="G10" s="25" t="s">
        <v>170</v>
      </c>
    </row>
    <row r="11" spans="1:7" x14ac:dyDescent="0.25">
      <c r="A11" s="26" t="s">
        <v>61</v>
      </c>
      <c r="B11" s="9" t="s">
        <v>180</v>
      </c>
      <c r="C11" s="8" t="s">
        <v>168</v>
      </c>
      <c r="D11" s="8">
        <v>5</v>
      </c>
      <c r="E11" s="8" t="s">
        <v>169</v>
      </c>
      <c r="F11" s="8">
        <v>1</v>
      </c>
      <c r="G11" s="25" t="s">
        <v>170</v>
      </c>
    </row>
    <row r="12" spans="1:7" x14ac:dyDescent="0.25">
      <c r="A12" s="24" t="s">
        <v>64</v>
      </c>
      <c r="B12" s="3" t="s">
        <v>181</v>
      </c>
      <c r="C12" s="2" t="s">
        <v>182</v>
      </c>
      <c r="D12" s="2">
        <v>7</v>
      </c>
      <c r="E12" s="2" t="s">
        <v>176</v>
      </c>
      <c r="F12" s="2">
        <v>1</v>
      </c>
      <c r="G12" s="27" t="s">
        <v>183</v>
      </c>
    </row>
    <row r="13" spans="1:7" x14ac:dyDescent="0.25">
      <c r="A13" s="26" t="s">
        <v>68</v>
      </c>
      <c r="B13" s="9" t="s">
        <v>184</v>
      </c>
      <c r="C13" s="8" t="s">
        <v>168</v>
      </c>
      <c r="D13" s="8">
        <v>1</v>
      </c>
      <c r="E13" s="8" t="s">
        <v>169</v>
      </c>
      <c r="F13" s="8">
        <v>5</v>
      </c>
      <c r="G13" s="25" t="s">
        <v>185</v>
      </c>
    </row>
    <row r="14" spans="1:7" x14ac:dyDescent="0.25">
      <c r="A14" s="24" t="s">
        <v>72</v>
      </c>
      <c r="B14" s="3" t="s">
        <v>186</v>
      </c>
      <c r="C14" s="2" t="s">
        <v>168</v>
      </c>
      <c r="D14" s="2">
        <v>2</v>
      </c>
      <c r="E14" s="2" t="s">
        <v>169</v>
      </c>
      <c r="F14" s="2">
        <v>1</v>
      </c>
      <c r="G14" s="25" t="s">
        <v>170</v>
      </c>
    </row>
    <row r="15" spans="1:7" x14ac:dyDescent="0.25">
      <c r="A15" s="26" t="s">
        <v>77</v>
      </c>
      <c r="B15" s="9" t="s">
        <v>187</v>
      </c>
      <c r="C15" s="8" t="s">
        <v>168</v>
      </c>
      <c r="D15" s="8">
        <v>3</v>
      </c>
      <c r="E15" s="8" t="s">
        <v>171</v>
      </c>
      <c r="F15" s="8">
        <v>2</v>
      </c>
      <c r="G15" s="25" t="s">
        <v>170</v>
      </c>
    </row>
    <row r="16" spans="1:7" x14ac:dyDescent="0.25">
      <c r="A16" s="24" t="s">
        <v>81</v>
      </c>
      <c r="B16" s="3" t="s">
        <v>188</v>
      </c>
      <c r="C16" s="2" t="s">
        <v>168</v>
      </c>
      <c r="D16" s="2">
        <v>3</v>
      </c>
      <c r="E16" s="2" t="s">
        <v>169</v>
      </c>
      <c r="F16" s="2">
        <v>1</v>
      </c>
      <c r="G16" s="25" t="s">
        <v>170</v>
      </c>
    </row>
    <row r="17" spans="1:7" x14ac:dyDescent="0.25">
      <c r="A17" s="26" t="s">
        <v>84</v>
      </c>
      <c r="B17" s="9" t="s">
        <v>189</v>
      </c>
      <c r="C17" s="8" t="s">
        <v>168</v>
      </c>
      <c r="D17" s="8">
        <v>4</v>
      </c>
      <c r="E17" s="8" t="s">
        <v>171</v>
      </c>
      <c r="F17" s="8">
        <v>1</v>
      </c>
      <c r="G17" s="25" t="s">
        <v>190</v>
      </c>
    </row>
    <row r="18" spans="1:7" x14ac:dyDescent="0.25">
      <c r="A18" s="24" t="s">
        <v>87</v>
      </c>
      <c r="B18" s="3" t="s">
        <v>191</v>
      </c>
      <c r="C18" s="2" t="s">
        <v>168</v>
      </c>
      <c r="D18" s="2">
        <v>4</v>
      </c>
      <c r="E18" s="2" t="s">
        <v>169</v>
      </c>
      <c r="F18" s="2">
        <v>1</v>
      </c>
      <c r="G18" s="25" t="s">
        <v>170</v>
      </c>
    </row>
    <row r="19" spans="1:7" x14ac:dyDescent="0.25">
      <c r="A19" s="26" t="s">
        <v>90</v>
      </c>
      <c r="B19" s="9" t="s">
        <v>89</v>
      </c>
      <c r="C19" s="8" t="s">
        <v>192</v>
      </c>
      <c r="D19" s="8">
        <v>2</v>
      </c>
      <c r="E19" s="8" t="s">
        <v>171</v>
      </c>
      <c r="F19" s="8">
        <v>1</v>
      </c>
      <c r="G19" s="25" t="s">
        <v>170</v>
      </c>
    </row>
    <row r="20" spans="1:7" x14ac:dyDescent="0.25">
      <c r="A20" s="24" t="s">
        <v>97</v>
      </c>
      <c r="B20" s="3" t="s">
        <v>193</v>
      </c>
      <c r="C20" s="2" t="s">
        <v>168</v>
      </c>
      <c r="D20" s="2">
        <v>2</v>
      </c>
      <c r="E20" s="2" t="s">
        <v>169</v>
      </c>
      <c r="F20" s="2">
        <v>1</v>
      </c>
      <c r="G20" s="25" t="s">
        <v>170</v>
      </c>
    </row>
    <row r="21" spans="1:7" x14ac:dyDescent="0.25">
      <c r="A21" s="26" t="s">
        <v>100</v>
      </c>
      <c r="B21" s="9" t="s">
        <v>194</v>
      </c>
      <c r="C21" s="8" t="s">
        <v>195</v>
      </c>
      <c r="D21" s="8">
        <v>2</v>
      </c>
      <c r="E21" s="8" t="s">
        <v>169</v>
      </c>
      <c r="F21" s="8">
        <v>1</v>
      </c>
      <c r="G21" s="25" t="s">
        <v>170</v>
      </c>
    </row>
    <row r="22" spans="1:7" x14ac:dyDescent="0.25">
      <c r="A22" s="24" t="s">
        <v>104</v>
      </c>
      <c r="B22" s="3" t="s">
        <v>102</v>
      </c>
      <c r="C22" s="2" t="s">
        <v>168</v>
      </c>
      <c r="D22" s="2">
        <v>3</v>
      </c>
      <c r="E22" s="2" t="s">
        <v>171</v>
      </c>
      <c r="F22" s="2">
        <v>3</v>
      </c>
      <c r="G22" s="25" t="s">
        <v>170</v>
      </c>
    </row>
    <row r="23" spans="1:7" x14ac:dyDescent="0.25">
      <c r="A23" s="26" t="s">
        <v>110</v>
      </c>
      <c r="B23" s="9" t="s">
        <v>196</v>
      </c>
      <c r="C23" s="8" t="s">
        <v>168</v>
      </c>
      <c r="D23" s="8">
        <v>3</v>
      </c>
      <c r="E23" s="8" t="s">
        <v>169</v>
      </c>
      <c r="F23" s="8">
        <v>2</v>
      </c>
      <c r="G23" s="25" t="s">
        <v>170</v>
      </c>
    </row>
    <row r="24" spans="1:7" x14ac:dyDescent="0.25">
      <c r="A24" s="24" t="s">
        <v>116</v>
      </c>
      <c r="B24" s="3" t="s">
        <v>197</v>
      </c>
      <c r="C24" s="2" t="s">
        <v>168</v>
      </c>
      <c r="D24" s="2">
        <v>4</v>
      </c>
      <c r="E24" s="2" t="s">
        <v>171</v>
      </c>
      <c r="F24" s="2">
        <v>3</v>
      </c>
      <c r="G24" s="25" t="s">
        <v>170</v>
      </c>
    </row>
    <row r="25" spans="1:7" x14ac:dyDescent="0.25">
      <c r="A25" s="26" t="s">
        <v>123</v>
      </c>
      <c r="B25" s="9" t="s">
        <v>198</v>
      </c>
      <c r="C25" s="8" t="s">
        <v>168</v>
      </c>
      <c r="D25" s="8">
        <v>3</v>
      </c>
      <c r="E25" s="8" t="s">
        <v>176</v>
      </c>
      <c r="F25" s="8">
        <v>2</v>
      </c>
      <c r="G25" s="27" t="s">
        <v>199</v>
      </c>
    </row>
    <row r="26" spans="1:7" x14ac:dyDescent="0.25">
      <c r="A26" s="24" t="s">
        <v>131</v>
      </c>
      <c r="B26" s="3" t="s">
        <v>129</v>
      </c>
      <c r="C26" s="2" t="s">
        <v>168</v>
      </c>
      <c r="D26" s="2">
        <v>5</v>
      </c>
      <c r="E26" s="2" t="s">
        <v>169</v>
      </c>
      <c r="F26" s="2">
        <v>4</v>
      </c>
      <c r="G26" s="25" t="s">
        <v>170</v>
      </c>
    </row>
    <row r="27" spans="1:7" x14ac:dyDescent="0.25">
      <c r="A27" s="26" t="s">
        <v>141</v>
      </c>
      <c r="B27" s="9" t="s">
        <v>139</v>
      </c>
      <c r="C27" s="8" t="s">
        <v>168</v>
      </c>
      <c r="D27" s="8">
        <v>4</v>
      </c>
      <c r="E27" s="8" t="s">
        <v>169</v>
      </c>
      <c r="F27" s="8">
        <v>6</v>
      </c>
      <c r="G27" s="25" t="s">
        <v>170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52A-3154-43D5-B034-F8169E3D7AB2}">
  <dimension ref="A1:O52"/>
  <sheetViews>
    <sheetView topLeftCell="D1" workbookViewId="0">
      <selection activeCell="P8" sqref="P8"/>
    </sheetView>
  </sheetViews>
  <sheetFormatPr baseColWidth="10" defaultRowHeight="15" x14ac:dyDescent="0.25"/>
  <cols>
    <col min="3" max="3" width="25.140625" bestFit="1" customWidth="1"/>
    <col min="4" max="4" width="20.140625" bestFit="1" customWidth="1"/>
    <col min="7" max="7" width="14.5703125" bestFit="1" customWidth="1"/>
    <col min="15" max="15" width="27.5703125" bestFit="1" customWidth="1"/>
  </cols>
  <sheetData>
    <row r="1" spans="1:15" ht="24" x14ac:dyDescent="0.25">
      <c r="A1" s="1" t="s">
        <v>203</v>
      </c>
      <c r="B1" s="1" t="s">
        <v>204</v>
      </c>
      <c r="C1" s="1" t="s">
        <v>3</v>
      </c>
      <c r="D1" s="1" t="s">
        <v>2</v>
      </c>
      <c r="E1" s="1" t="s">
        <v>205</v>
      </c>
      <c r="F1" s="1" t="s">
        <v>206</v>
      </c>
      <c r="G1" s="1" t="s">
        <v>207</v>
      </c>
      <c r="H1" s="1" t="s">
        <v>200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</row>
    <row r="2" spans="1:15" x14ac:dyDescent="0.25">
      <c r="A2" s="20" t="s">
        <v>215</v>
      </c>
      <c r="B2" s="33">
        <v>45474</v>
      </c>
      <c r="C2" s="34" t="s">
        <v>56</v>
      </c>
      <c r="D2" s="34" t="s">
        <v>55</v>
      </c>
      <c r="E2" s="20">
        <v>200</v>
      </c>
      <c r="F2" s="20">
        <v>200</v>
      </c>
      <c r="G2" s="35">
        <f>H2/0.000248</f>
        <v>1209.6774193548385</v>
      </c>
      <c r="H2" s="36">
        <v>0.3</v>
      </c>
      <c r="I2" s="33">
        <v>45476</v>
      </c>
      <c r="J2" s="33">
        <v>45476</v>
      </c>
      <c r="K2" s="37">
        <v>2</v>
      </c>
      <c r="L2" s="37">
        <v>2</v>
      </c>
      <c r="M2" s="38">
        <f t="shared" ref="M2:M51" si="0">L2-K2</f>
        <v>0</v>
      </c>
      <c r="N2" s="39" t="str">
        <f>IF(E2=F2,"Non","Oui")</f>
        <v>Non</v>
      </c>
      <c r="O2" s="40" t="str">
        <f>IF(AND(E2&lt;&gt;F2,K2&lt;&gt;L2),"Retard + Livraison incomplète",IF(E2&lt;&gt;F2,"Livraison incomplète",IF(K2&lt;&gt;L2,"Retard livraison","—")))</f>
        <v>—</v>
      </c>
    </row>
    <row r="3" spans="1:15" x14ac:dyDescent="0.25">
      <c r="A3" s="41" t="s">
        <v>216</v>
      </c>
      <c r="B3" s="42">
        <v>45474</v>
      </c>
      <c r="C3" s="43" t="s">
        <v>68</v>
      </c>
      <c r="D3" s="43" t="s">
        <v>92</v>
      </c>
      <c r="E3" s="41">
        <v>20</v>
      </c>
      <c r="F3" s="41">
        <v>18</v>
      </c>
      <c r="G3" s="35">
        <f t="shared" ref="G3:G51" si="1">H3/0.000248</f>
        <v>3024.1935483870966</v>
      </c>
      <c r="H3" s="44">
        <v>0.75</v>
      </c>
      <c r="I3" s="42">
        <v>45475</v>
      </c>
      <c r="J3" s="42">
        <v>45475</v>
      </c>
      <c r="K3" s="45">
        <v>1</v>
      </c>
      <c r="L3" s="45">
        <v>1</v>
      </c>
      <c r="M3" s="38">
        <f t="shared" si="0"/>
        <v>0</v>
      </c>
      <c r="N3" s="39" t="str">
        <f t="shared" ref="N3:N51" si="2">IF(E3=F3,"Non","Oui")</f>
        <v>Oui</v>
      </c>
      <c r="O3" s="40" t="str">
        <f t="shared" ref="O3:O51" si="3">IF(AND(E3&lt;&gt;F3,K3&lt;&gt;L3),"Retard + Livraison incomplète",IF(E3&lt;&gt;F3,"Livraison incomplète",IF(K3&lt;&gt;L3,"Retard livraison","—")))</f>
        <v>Livraison incomplète</v>
      </c>
    </row>
    <row r="4" spans="1:15" x14ac:dyDescent="0.25">
      <c r="A4" s="20" t="s">
        <v>217</v>
      </c>
      <c r="B4" s="33">
        <v>45475</v>
      </c>
      <c r="C4" s="34" t="s">
        <v>41</v>
      </c>
      <c r="D4" s="34" t="s">
        <v>36</v>
      </c>
      <c r="E4" s="20">
        <v>120</v>
      </c>
      <c r="F4" s="20">
        <v>120</v>
      </c>
      <c r="G4" s="35">
        <f t="shared" si="1"/>
        <v>3508.0645161290322</v>
      </c>
      <c r="H4" s="36">
        <v>0.87</v>
      </c>
      <c r="I4" s="33">
        <v>45478</v>
      </c>
      <c r="J4" s="33">
        <v>45478</v>
      </c>
      <c r="K4" s="37">
        <v>3</v>
      </c>
      <c r="L4" s="37">
        <v>3</v>
      </c>
      <c r="M4" s="38">
        <f t="shared" si="0"/>
        <v>0</v>
      </c>
      <c r="N4" s="39" t="str">
        <f t="shared" si="2"/>
        <v>Non</v>
      </c>
      <c r="O4" s="40" t="str">
        <f t="shared" si="3"/>
        <v>—</v>
      </c>
    </row>
    <row r="5" spans="1:15" x14ac:dyDescent="0.25">
      <c r="A5" s="41" t="s">
        <v>218</v>
      </c>
      <c r="B5" s="42">
        <v>45476</v>
      </c>
      <c r="C5" s="43" t="s">
        <v>104</v>
      </c>
      <c r="D5" s="43" t="s">
        <v>112</v>
      </c>
      <c r="E5" s="41">
        <v>200</v>
      </c>
      <c r="F5" s="41">
        <v>200</v>
      </c>
      <c r="G5" s="35">
        <f t="shared" si="1"/>
        <v>806.45161290322585</v>
      </c>
      <c r="H5" s="44">
        <v>0.2</v>
      </c>
      <c r="I5" s="42">
        <v>45479</v>
      </c>
      <c r="J5" s="42">
        <v>45480</v>
      </c>
      <c r="K5" s="45">
        <v>3</v>
      </c>
      <c r="L5" s="45">
        <v>4</v>
      </c>
      <c r="M5" s="46">
        <f t="shared" si="0"/>
        <v>1</v>
      </c>
      <c r="N5" s="39" t="str">
        <f t="shared" si="2"/>
        <v>Non</v>
      </c>
      <c r="O5" s="40" t="str">
        <f t="shared" si="3"/>
        <v>Retard livraison</v>
      </c>
    </row>
    <row r="6" spans="1:15" x14ac:dyDescent="0.25">
      <c r="A6" s="47" t="s">
        <v>219</v>
      </c>
      <c r="B6" s="48">
        <v>45477</v>
      </c>
      <c r="C6" s="49" t="s">
        <v>64</v>
      </c>
      <c r="D6" s="49" t="s">
        <v>63</v>
      </c>
      <c r="E6" s="47">
        <v>15</v>
      </c>
      <c r="F6" s="47">
        <v>15</v>
      </c>
      <c r="G6" s="35">
        <f t="shared" si="1"/>
        <v>15000</v>
      </c>
      <c r="H6" s="50">
        <v>3.72</v>
      </c>
      <c r="I6" s="48">
        <v>45484</v>
      </c>
      <c r="J6" s="48">
        <v>45488</v>
      </c>
      <c r="K6" s="51">
        <v>7</v>
      </c>
      <c r="L6" s="51">
        <v>11</v>
      </c>
      <c r="M6" s="52">
        <f t="shared" si="0"/>
        <v>4</v>
      </c>
      <c r="N6" s="39" t="str">
        <f t="shared" si="2"/>
        <v>Non</v>
      </c>
      <c r="O6" s="40" t="str">
        <f t="shared" si="3"/>
        <v>Retard livraison</v>
      </c>
    </row>
    <row r="7" spans="1:15" x14ac:dyDescent="0.25">
      <c r="A7" s="41" t="s">
        <v>220</v>
      </c>
      <c r="B7" s="42">
        <v>45478</v>
      </c>
      <c r="C7" s="43" t="s">
        <v>68</v>
      </c>
      <c r="D7" s="43" t="s">
        <v>94</v>
      </c>
      <c r="E7" s="41">
        <v>15</v>
      </c>
      <c r="F7" s="41">
        <v>12</v>
      </c>
      <c r="G7" s="35">
        <f t="shared" si="1"/>
        <v>2016.1290322580644</v>
      </c>
      <c r="H7" s="44">
        <v>0.5</v>
      </c>
      <c r="I7" s="42">
        <v>45479</v>
      </c>
      <c r="J7" s="42">
        <v>45479</v>
      </c>
      <c r="K7" s="45">
        <v>1</v>
      </c>
      <c r="L7" s="45">
        <v>1</v>
      </c>
      <c r="M7" s="38">
        <f t="shared" si="0"/>
        <v>0</v>
      </c>
      <c r="N7" s="39" t="str">
        <f t="shared" si="2"/>
        <v>Oui</v>
      </c>
      <c r="O7" s="40" t="str">
        <f t="shared" si="3"/>
        <v>Livraison incomplète</v>
      </c>
    </row>
    <row r="8" spans="1:15" x14ac:dyDescent="0.25">
      <c r="A8" s="20" t="s">
        <v>221</v>
      </c>
      <c r="B8" s="33">
        <v>45479</v>
      </c>
      <c r="C8" s="34" t="s">
        <v>46</v>
      </c>
      <c r="D8" s="34" t="s">
        <v>45</v>
      </c>
      <c r="E8" s="20">
        <v>60</v>
      </c>
      <c r="F8" s="20">
        <v>60</v>
      </c>
      <c r="G8" s="35">
        <f t="shared" si="1"/>
        <v>2500</v>
      </c>
      <c r="H8" s="36">
        <v>0.62</v>
      </c>
      <c r="I8" s="33">
        <v>45482</v>
      </c>
      <c r="J8" s="33">
        <v>45482</v>
      </c>
      <c r="K8" s="37">
        <v>3</v>
      </c>
      <c r="L8" s="37">
        <v>3</v>
      </c>
      <c r="M8" s="38">
        <f t="shared" si="0"/>
        <v>0</v>
      </c>
      <c r="N8" s="39" t="str">
        <f t="shared" si="2"/>
        <v>Non</v>
      </c>
      <c r="O8" s="40" t="str">
        <f t="shared" si="3"/>
        <v>—</v>
      </c>
    </row>
    <row r="9" spans="1:15" x14ac:dyDescent="0.25">
      <c r="A9" s="53" t="s">
        <v>222</v>
      </c>
      <c r="B9" s="54">
        <v>45480</v>
      </c>
      <c r="C9" s="55" t="s">
        <v>21</v>
      </c>
      <c r="D9" s="55" t="s">
        <v>20</v>
      </c>
      <c r="E9" s="53">
        <v>40</v>
      </c>
      <c r="F9" s="53">
        <v>40</v>
      </c>
      <c r="G9" s="35">
        <f t="shared" si="1"/>
        <v>45080.645161290318</v>
      </c>
      <c r="H9" s="56">
        <v>11.18</v>
      </c>
      <c r="I9" s="54">
        <v>45487</v>
      </c>
      <c r="J9" s="54">
        <v>45487</v>
      </c>
      <c r="K9" s="57">
        <v>7</v>
      </c>
      <c r="L9" s="57">
        <v>7</v>
      </c>
      <c r="M9" s="38">
        <f t="shared" si="0"/>
        <v>0</v>
      </c>
      <c r="N9" s="39" t="str">
        <f t="shared" si="2"/>
        <v>Non</v>
      </c>
      <c r="O9" s="40" t="str">
        <f t="shared" si="3"/>
        <v>—</v>
      </c>
    </row>
    <row r="10" spans="1:15" x14ac:dyDescent="0.25">
      <c r="A10" s="41" t="s">
        <v>223</v>
      </c>
      <c r="B10" s="42">
        <v>45481</v>
      </c>
      <c r="C10" s="43" t="s">
        <v>27</v>
      </c>
      <c r="D10" s="43" t="s">
        <v>26</v>
      </c>
      <c r="E10" s="41">
        <v>60</v>
      </c>
      <c r="F10" s="41">
        <v>60</v>
      </c>
      <c r="G10" s="35">
        <f t="shared" si="1"/>
        <v>18064.516129032258</v>
      </c>
      <c r="H10" s="44">
        <v>4.4800000000000004</v>
      </c>
      <c r="I10" s="42">
        <v>45488</v>
      </c>
      <c r="J10" s="42">
        <v>45490</v>
      </c>
      <c r="K10" s="45">
        <v>7</v>
      </c>
      <c r="L10" s="45">
        <v>9</v>
      </c>
      <c r="M10" s="46">
        <f t="shared" si="0"/>
        <v>2</v>
      </c>
      <c r="N10" s="39" t="str">
        <f t="shared" si="2"/>
        <v>Non</v>
      </c>
      <c r="O10" s="40" t="str">
        <f t="shared" si="3"/>
        <v>Retard livraison</v>
      </c>
    </row>
    <row r="11" spans="1:15" x14ac:dyDescent="0.25">
      <c r="A11" s="53" t="s">
        <v>224</v>
      </c>
      <c r="B11" s="54">
        <v>45482</v>
      </c>
      <c r="C11" s="55" t="s">
        <v>68</v>
      </c>
      <c r="D11" s="55" t="s">
        <v>92</v>
      </c>
      <c r="E11" s="53">
        <v>20</v>
      </c>
      <c r="F11" s="53">
        <v>20</v>
      </c>
      <c r="G11" s="35">
        <f t="shared" si="1"/>
        <v>3024.1935483870966</v>
      </c>
      <c r="H11" s="56">
        <v>0.75</v>
      </c>
      <c r="I11" s="54">
        <v>45483</v>
      </c>
      <c r="J11" s="54">
        <v>45483</v>
      </c>
      <c r="K11" s="57">
        <v>1</v>
      </c>
      <c r="L11" s="57">
        <v>1</v>
      </c>
      <c r="M11" s="38">
        <f t="shared" si="0"/>
        <v>0</v>
      </c>
      <c r="N11" s="39" t="str">
        <f t="shared" si="2"/>
        <v>Non</v>
      </c>
      <c r="O11" s="40" t="str">
        <f t="shared" si="3"/>
        <v>—</v>
      </c>
    </row>
    <row r="12" spans="1:15" x14ac:dyDescent="0.25">
      <c r="A12" s="20" t="s">
        <v>225</v>
      </c>
      <c r="B12" s="33">
        <v>45483</v>
      </c>
      <c r="C12" s="34" t="s">
        <v>77</v>
      </c>
      <c r="D12" s="34" t="s">
        <v>76</v>
      </c>
      <c r="E12" s="20">
        <v>20</v>
      </c>
      <c r="F12" s="20">
        <v>20</v>
      </c>
      <c r="G12" s="35">
        <f t="shared" si="1"/>
        <v>6491.9354838709678</v>
      </c>
      <c r="H12" s="36">
        <v>1.61</v>
      </c>
      <c r="I12" s="33">
        <v>45486</v>
      </c>
      <c r="J12" s="33">
        <v>45486</v>
      </c>
      <c r="K12" s="37">
        <v>3</v>
      </c>
      <c r="L12" s="37">
        <v>3</v>
      </c>
      <c r="M12" s="38">
        <f t="shared" si="0"/>
        <v>0</v>
      </c>
      <c r="N12" s="39" t="str">
        <f t="shared" si="2"/>
        <v>Non</v>
      </c>
      <c r="O12" s="40" t="str">
        <f t="shared" si="3"/>
        <v>—</v>
      </c>
    </row>
    <row r="13" spans="1:15" x14ac:dyDescent="0.25">
      <c r="A13" s="53" t="s">
        <v>226</v>
      </c>
      <c r="B13" s="54">
        <v>45484</v>
      </c>
      <c r="C13" s="55" t="s">
        <v>61</v>
      </c>
      <c r="D13" s="55" t="s">
        <v>60</v>
      </c>
      <c r="E13" s="53">
        <v>20</v>
      </c>
      <c r="F13" s="53">
        <v>20</v>
      </c>
      <c r="G13" s="35">
        <f t="shared" si="1"/>
        <v>18064.516129032258</v>
      </c>
      <c r="H13" s="56">
        <v>4.4800000000000004</v>
      </c>
      <c r="I13" s="54">
        <v>45489</v>
      </c>
      <c r="J13" s="54">
        <v>45489</v>
      </c>
      <c r="K13" s="57">
        <v>5</v>
      </c>
      <c r="L13" s="57">
        <v>5</v>
      </c>
      <c r="M13" s="38">
        <f t="shared" si="0"/>
        <v>0</v>
      </c>
      <c r="N13" s="39" t="str">
        <f t="shared" si="2"/>
        <v>Non</v>
      </c>
      <c r="O13" s="40" t="str">
        <f t="shared" si="3"/>
        <v>—</v>
      </c>
    </row>
    <row r="14" spans="1:15" x14ac:dyDescent="0.25">
      <c r="A14" s="41" t="s">
        <v>227</v>
      </c>
      <c r="B14" s="42">
        <v>45485</v>
      </c>
      <c r="C14" s="43" t="s">
        <v>51</v>
      </c>
      <c r="D14" s="43" t="s">
        <v>53</v>
      </c>
      <c r="E14" s="41">
        <v>60</v>
      </c>
      <c r="F14" s="41">
        <v>60</v>
      </c>
      <c r="G14" s="35">
        <f t="shared" si="1"/>
        <v>2500</v>
      </c>
      <c r="H14" s="44">
        <v>0.62</v>
      </c>
      <c r="I14" s="42">
        <v>45488</v>
      </c>
      <c r="J14" s="42">
        <v>45490</v>
      </c>
      <c r="K14" s="45">
        <v>3</v>
      </c>
      <c r="L14" s="45">
        <v>5</v>
      </c>
      <c r="M14" s="46">
        <f t="shared" si="0"/>
        <v>2</v>
      </c>
      <c r="N14" s="39" t="str">
        <f t="shared" si="2"/>
        <v>Non</v>
      </c>
      <c r="O14" s="40" t="str">
        <f t="shared" si="3"/>
        <v>Retard livraison</v>
      </c>
    </row>
    <row r="15" spans="1:15" x14ac:dyDescent="0.25">
      <c r="A15" s="53" t="s">
        <v>228</v>
      </c>
      <c r="B15" s="54">
        <v>45486</v>
      </c>
      <c r="C15" s="55" t="s">
        <v>68</v>
      </c>
      <c r="D15" s="55" t="s">
        <v>94</v>
      </c>
      <c r="E15" s="53">
        <v>15</v>
      </c>
      <c r="F15" s="53">
        <v>15</v>
      </c>
      <c r="G15" s="35">
        <f t="shared" si="1"/>
        <v>2016.1290322580644</v>
      </c>
      <c r="H15" s="56">
        <v>0.5</v>
      </c>
      <c r="I15" s="54">
        <v>45487</v>
      </c>
      <c r="J15" s="54">
        <v>45487</v>
      </c>
      <c r="K15" s="57">
        <v>1</v>
      </c>
      <c r="L15" s="57">
        <v>1</v>
      </c>
      <c r="M15" s="38">
        <f t="shared" si="0"/>
        <v>0</v>
      </c>
      <c r="N15" s="39" t="str">
        <f t="shared" si="2"/>
        <v>Non</v>
      </c>
      <c r="O15" s="40" t="str">
        <f t="shared" si="3"/>
        <v>—</v>
      </c>
    </row>
    <row r="16" spans="1:15" x14ac:dyDescent="0.25">
      <c r="A16" s="41" t="s">
        <v>229</v>
      </c>
      <c r="B16" s="42">
        <v>45487</v>
      </c>
      <c r="C16" s="43" t="s">
        <v>116</v>
      </c>
      <c r="D16" s="43" t="s">
        <v>118</v>
      </c>
      <c r="E16" s="41">
        <v>80</v>
      </c>
      <c r="F16" s="41">
        <v>75</v>
      </c>
      <c r="G16" s="35">
        <f t="shared" si="1"/>
        <v>6491.9354838709678</v>
      </c>
      <c r="H16" s="44">
        <v>1.61</v>
      </c>
      <c r="I16" s="42">
        <v>45491</v>
      </c>
      <c r="J16" s="42">
        <v>45491</v>
      </c>
      <c r="K16" s="45">
        <v>4</v>
      </c>
      <c r="L16" s="45">
        <v>4</v>
      </c>
      <c r="M16" s="38">
        <f t="shared" si="0"/>
        <v>0</v>
      </c>
      <c r="N16" s="39" t="str">
        <f t="shared" si="2"/>
        <v>Oui</v>
      </c>
      <c r="O16" s="40" t="str">
        <f t="shared" si="3"/>
        <v>Livraison incomplète</v>
      </c>
    </row>
    <row r="17" spans="1:15" x14ac:dyDescent="0.25">
      <c r="A17" s="53" t="s">
        <v>230</v>
      </c>
      <c r="B17" s="54">
        <v>45488</v>
      </c>
      <c r="C17" s="55" t="s">
        <v>56</v>
      </c>
      <c r="D17" s="55" t="s">
        <v>58</v>
      </c>
      <c r="E17" s="53">
        <v>150</v>
      </c>
      <c r="F17" s="53">
        <v>150</v>
      </c>
      <c r="G17" s="35">
        <f t="shared" si="1"/>
        <v>1814.516129032258</v>
      </c>
      <c r="H17" s="56">
        <v>0.45</v>
      </c>
      <c r="I17" s="54">
        <v>45490</v>
      </c>
      <c r="J17" s="54">
        <v>45490</v>
      </c>
      <c r="K17" s="57">
        <v>2</v>
      </c>
      <c r="L17" s="57">
        <v>2</v>
      </c>
      <c r="M17" s="38">
        <f t="shared" si="0"/>
        <v>0</v>
      </c>
      <c r="N17" s="39" t="str">
        <f t="shared" si="2"/>
        <v>Non</v>
      </c>
      <c r="O17" s="40" t="str">
        <f t="shared" si="3"/>
        <v>—</v>
      </c>
    </row>
    <row r="18" spans="1:15" x14ac:dyDescent="0.25">
      <c r="A18" s="47" t="s">
        <v>231</v>
      </c>
      <c r="B18" s="48">
        <v>45489</v>
      </c>
      <c r="C18" s="49" t="s">
        <v>64</v>
      </c>
      <c r="D18" s="49" t="s">
        <v>63</v>
      </c>
      <c r="E18" s="47">
        <v>15</v>
      </c>
      <c r="F18" s="47">
        <v>15</v>
      </c>
      <c r="G18" s="35">
        <f t="shared" si="1"/>
        <v>15000</v>
      </c>
      <c r="H18" s="50">
        <v>3.72</v>
      </c>
      <c r="I18" s="48">
        <v>45496</v>
      </c>
      <c r="J18" s="48">
        <v>45501</v>
      </c>
      <c r="K18" s="51">
        <v>7</v>
      </c>
      <c r="L18" s="51">
        <v>12</v>
      </c>
      <c r="M18" s="52">
        <f t="shared" si="0"/>
        <v>5</v>
      </c>
      <c r="N18" s="39" t="str">
        <f t="shared" si="2"/>
        <v>Non</v>
      </c>
      <c r="O18" s="40" t="str">
        <f t="shared" si="3"/>
        <v>Retard livraison</v>
      </c>
    </row>
    <row r="19" spans="1:15" x14ac:dyDescent="0.25">
      <c r="A19" s="53" t="s">
        <v>232</v>
      </c>
      <c r="B19" s="54">
        <v>45490</v>
      </c>
      <c r="C19" s="55" t="s">
        <v>90</v>
      </c>
      <c r="D19" s="55" t="s">
        <v>89</v>
      </c>
      <c r="E19" s="53">
        <v>25</v>
      </c>
      <c r="F19" s="53">
        <v>25</v>
      </c>
      <c r="G19" s="35">
        <f t="shared" si="1"/>
        <v>4516.1290322580644</v>
      </c>
      <c r="H19" s="56">
        <v>1.1200000000000001</v>
      </c>
      <c r="I19" s="54">
        <v>45492</v>
      </c>
      <c r="J19" s="54">
        <v>45492</v>
      </c>
      <c r="K19" s="57">
        <v>2</v>
      </c>
      <c r="L19" s="57">
        <v>2</v>
      </c>
      <c r="M19" s="38">
        <f t="shared" si="0"/>
        <v>0</v>
      </c>
      <c r="N19" s="39" t="str">
        <f t="shared" si="2"/>
        <v>Non</v>
      </c>
      <c r="O19" s="40" t="str">
        <f t="shared" si="3"/>
        <v>—</v>
      </c>
    </row>
    <row r="20" spans="1:15" x14ac:dyDescent="0.25">
      <c r="A20" s="41" t="s">
        <v>233</v>
      </c>
      <c r="B20" s="42">
        <v>45491</v>
      </c>
      <c r="C20" s="43" t="s">
        <v>68</v>
      </c>
      <c r="D20" s="43" t="s">
        <v>92</v>
      </c>
      <c r="E20" s="41">
        <v>20</v>
      </c>
      <c r="F20" s="41">
        <v>16</v>
      </c>
      <c r="G20" s="35">
        <f t="shared" si="1"/>
        <v>3024.1935483870966</v>
      </c>
      <c r="H20" s="44">
        <v>0.75</v>
      </c>
      <c r="I20" s="42">
        <v>45492</v>
      </c>
      <c r="J20" s="42">
        <v>45492</v>
      </c>
      <c r="K20" s="45">
        <v>1</v>
      </c>
      <c r="L20" s="45">
        <v>1</v>
      </c>
      <c r="M20" s="38">
        <f t="shared" si="0"/>
        <v>0</v>
      </c>
      <c r="N20" s="39" t="str">
        <f t="shared" si="2"/>
        <v>Oui</v>
      </c>
      <c r="O20" s="40" t="str">
        <f t="shared" si="3"/>
        <v>Livraison incomplète</v>
      </c>
    </row>
    <row r="21" spans="1:15" x14ac:dyDescent="0.25">
      <c r="A21" s="41" t="s">
        <v>234</v>
      </c>
      <c r="B21" s="42">
        <v>45492</v>
      </c>
      <c r="C21" s="43" t="s">
        <v>27</v>
      </c>
      <c r="D21" s="43" t="s">
        <v>33</v>
      </c>
      <c r="E21" s="41">
        <v>10</v>
      </c>
      <c r="F21" s="41">
        <v>10</v>
      </c>
      <c r="G21" s="35">
        <f t="shared" si="1"/>
        <v>85201.612903225803</v>
      </c>
      <c r="H21" s="44">
        <v>21.13</v>
      </c>
      <c r="I21" s="42">
        <v>45499</v>
      </c>
      <c r="J21" s="42">
        <v>45502</v>
      </c>
      <c r="K21" s="45">
        <v>7</v>
      </c>
      <c r="L21" s="45">
        <v>10</v>
      </c>
      <c r="M21" s="46">
        <f t="shared" si="0"/>
        <v>3</v>
      </c>
      <c r="N21" s="39" t="str">
        <f t="shared" si="2"/>
        <v>Non</v>
      </c>
      <c r="O21" s="40" t="str">
        <f t="shared" si="3"/>
        <v>Retard livraison</v>
      </c>
    </row>
    <row r="22" spans="1:15" x14ac:dyDescent="0.25">
      <c r="A22" s="20" t="s">
        <v>235</v>
      </c>
      <c r="B22" s="33">
        <v>45493</v>
      </c>
      <c r="C22" s="34" t="s">
        <v>37</v>
      </c>
      <c r="D22" s="34" t="s">
        <v>36</v>
      </c>
      <c r="E22" s="20">
        <v>120</v>
      </c>
      <c r="F22" s="20">
        <v>120</v>
      </c>
      <c r="G22" s="35">
        <f t="shared" si="1"/>
        <v>3508.0645161290322</v>
      </c>
      <c r="H22" s="36">
        <v>0.87</v>
      </c>
      <c r="I22" s="33">
        <v>45496</v>
      </c>
      <c r="J22" s="33">
        <v>45496</v>
      </c>
      <c r="K22" s="37">
        <v>3</v>
      </c>
      <c r="L22" s="37">
        <v>3</v>
      </c>
      <c r="M22" s="38">
        <f t="shared" si="0"/>
        <v>0</v>
      </c>
      <c r="N22" s="39" t="str">
        <f t="shared" si="2"/>
        <v>Non</v>
      </c>
      <c r="O22" s="40" t="str">
        <f t="shared" si="3"/>
        <v>—</v>
      </c>
    </row>
    <row r="23" spans="1:15" x14ac:dyDescent="0.25">
      <c r="A23" s="41" t="s">
        <v>236</v>
      </c>
      <c r="B23" s="42">
        <v>45494</v>
      </c>
      <c r="C23" s="43" t="s">
        <v>123</v>
      </c>
      <c r="D23" s="43" t="s">
        <v>122</v>
      </c>
      <c r="E23" s="41">
        <v>100</v>
      </c>
      <c r="F23" s="41">
        <v>90</v>
      </c>
      <c r="G23" s="35">
        <f t="shared" si="1"/>
        <v>483.87096774193543</v>
      </c>
      <c r="H23" s="44">
        <v>0.12</v>
      </c>
      <c r="I23" s="42">
        <v>45497</v>
      </c>
      <c r="J23" s="42">
        <v>45497</v>
      </c>
      <c r="K23" s="45">
        <v>3</v>
      </c>
      <c r="L23" s="45">
        <v>3</v>
      </c>
      <c r="M23" s="38">
        <f t="shared" si="0"/>
        <v>0</v>
      </c>
      <c r="N23" s="39" t="str">
        <f t="shared" si="2"/>
        <v>Oui</v>
      </c>
      <c r="O23" s="40" t="str">
        <f t="shared" si="3"/>
        <v>Livraison incomplète</v>
      </c>
    </row>
    <row r="24" spans="1:15" x14ac:dyDescent="0.25">
      <c r="A24" s="20" t="s">
        <v>237</v>
      </c>
      <c r="B24" s="33">
        <v>45495</v>
      </c>
      <c r="C24" s="34" t="s">
        <v>68</v>
      </c>
      <c r="D24" s="34" t="s">
        <v>94</v>
      </c>
      <c r="E24" s="20">
        <v>15</v>
      </c>
      <c r="F24" s="20">
        <v>15</v>
      </c>
      <c r="G24" s="35">
        <f t="shared" si="1"/>
        <v>2016.1290322580644</v>
      </c>
      <c r="H24" s="36">
        <v>0.5</v>
      </c>
      <c r="I24" s="33">
        <v>45496</v>
      </c>
      <c r="J24" s="33">
        <v>45496</v>
      </c>
      <c r="K24" s="37">
        <v>1</v>
      </c>
      <c r="L24" s="37">
        <v>1</v>
      </c>
      <c r="M24" s="38">
        <f t="shared" si="0"/>
        <v>0</v>
      </c>
      <c r="N24" s="39" t="str">
        <f t="shared" si="2"/>
        <v>Non</v>
      </c>
      <c r="O24" s="40" t="str">
        <f t="shared" si="3"/>
        <v>—</v>
      </c>
    </row>
    <row r="25" spans="1:15" x14ac:dyDescent="0.25">
      <c r="A25" s="41" t="s">
        <v>238</v>
      </c>
      <c r="B25" s="42">
        <v>45496</v>
      </c>
      <c r="C25" s="43" t="s">
        <v>141</v>
      </c>
      <c r="D25" s="43" t="s">
        <v>140</v>
      </c>
      <c r="E25" s="41">
        <v>50</v>
      </c>
      <c r="F25" s="41">
        <v>50</v>
      </c>
      <c r="G25" s="35">
        <f t="shared" si="1"/>
        <v>1209.6774193548385</v>
      </c>
      <c r="H25" s="44">
        <v>0.3</v>
      </c>
      <c r="I25" s="42">
        <v>45500</v>
      </c>
      <c r="J25" s="42">
        <v>45501</v>
      </c>
      <c r="K25" s="45">
        <v>4</v>
      </c>
      <c r="L25" s="45">
        <v>5</v>
      </c>
      <c r="M25" s="46">
        <f t="shared" si="0"/>
        <v>1</v>
      </c>
      <c r="N25" s="39" t="str">
        <f t="shared" si="2"/>
        <v>Non</v>
      </c>
      <c r="O25" s="40" t="str">
        <f t="shared" si="3"/>
        <v>Retard livraison</v>
      </c>
    </row>
    <row r="26" spans="1:15" x14ac:dyDescent="0.25">
      <c r="A26" s="20" t="s">
        <v>239</v>
      </c>
      <c r="B26" s="33">
        <v>45497</v>
      </c>
      <c r="C26" s="34" t="s">
        <v>104</v>
      </c>
      <c r="D26" s="34" t="s">
        <v>106</v>
      </c>
      <c r="E26" s="20">
        <v>15</v>
      </c>
      <c r="F26" s="20">
        <v>15</v>
      </c>
      <c r="G26" s="35">
        <f t="shared" si="1"/>
        <v>8024.1935483870966</v>
      </c>
      <c r="H26" s="36">
        <v>1.99</v>
      </c>
      <c r="I26" s="33">
        <v>45500</v>
      </c>
      <c r="J26" s="33">
        <v>45500</v>
      </c>
      <c r="K26" s="37">
        <v>3</v>
      </c>
      <c r="L26" s="37">
        <v>3</v>
      </c>
      <c r="M26" s="38">
        <f t="shared" si="0"/>
        <v>0</v>
      </c>
      <c r="N26" s="39" t="str">
        <f t="shared" si="2"/>
        <v>Non</v>
      </c>
      <c r="O26" s="40" t="str">
        <f t="shared" si="3"/>
        <v>—</v>
      </c>
    </row>
    <row r="27" spans="1:15" x14ac:dyDescent="0.25">
      <c r="A27" s="53" t="s">
        <v>240</v>
      </c>
      <c r="B27" s="54">
        <v>45498</v>
      </c>
      <c r="C27" s="55" t="s">
        <v>46</v>
      </c>
      <c r="D27" s="55" t="s">
        <v>48</v>
      </c>
      <c r="E27" s="53">
        <v>50</v>
      </c>
      <c r="F27" s="53">
        <v>50</v>
      </c>
      <c r="G27" s="35">
        <f t="shared" si="1"/>
        <v>2822.5806451612898</v>
      </c>
      <c r="H27" s="56">
        <v>0.7</v>
      </c>
      <c r="I27" s="54">
        <v>45501</v>
      </c>
      <c r="J27" s="54">
        <v>45501</v>
      </c>
      <c r="K27" s="57">
        <v>3</v>
      </c>
      <c r="L27" s="57">
        <v>3</v>
      </c>
      <c r="M27" s="38">
        <f t="shared" si="0"/>
        <v>0</v>
      </c>
      <c r="N27" s="39" t="str">
        <f t="shared" si="2"/>
        <v>Non</v>
      </c>
      <c r="O27" s="40" t="str">
        <f t="shared" si="3"/>
        <v>—</v>
      </c>
    </row>
    <row r="28" spans="1:15" x14ac:dyDescent="0.25">
      <c r="A28" s="20" t="s">
        <v>241</v>
      </c>
      <c r="B28" s="33">
        <v>45499</v>
      </c>
      <c r="C28" s="34" t="s">
        <v>68</v>
      </c>
      <c r="D28" s="34" t="s">
        <v>92</v>
      </c>
      <c r="E28" s="20">
        <v>20</v>
      </c>
      <c r="F28" s="20">
        <v>20</v>
      </c>
      <c r="G28" s="35">
        <f t="shared" si="1"/>
        <v>3024.1935483870966</v>
      </c>
      <c r="H28" s="36">
        <v>0.75</v>
      </c>
      <c r="I28" s="33">
        <v>45500</v>
      </c>
      <c r="J28" s="33">
        <v>45500</v>
      </c>
      <c r="K28" s="37">
        <v>1</v>
      </c>
      <c r="L28" s="37">
        <v>1</v>
      </c>
      <c r="M28" s="38">
        <f t="shared" si="0"/>
        <v>0</v>
      </c>
      <c r="N28" s="39" t="str">
        <f t="shared" si="2"/>
        <v>Non</v>
      </c>
      <c r="O28" s="40" t="str">
        <f t="shared" si="3"/>
        <v>—</v>
      </c>
    </row>
    <row r="29" spans="1:15" x14ac:dyDescent="0.25">
      <c r="A29" s="53" t="s">
        <v>242</v>
      </c>
      <c r="B29" s="54">
        <v>45501</v>
      </c>
      <c r="C29" s="55" t="s">
        <v>110</v>
      </c>
      <c r="D29" s="55" t="s">
        <v>109</v>
      </c>
      <c r="E29" s="53">
        <v>10</v>
      </c>
      <c r="F29" s="53">
        <v>10</v>
      </c>
      <c r="G29" s="35">
        <f t="shared" si="1"/>
        <v>12016.129032258064</v>
      </c>
      <c r="H29" s="56">
        <v>2.98</v>
      </c>
      <c r="I29" s="54">
        <v>45504</v>
      </c>
      <c r="J29" s="54">
        <v>45504</v>
      </c>
      <c r="K29" s="57">
        <v>3</v>
      </c>
      <c r="L29" s="57">
        <v>3</v>
      </c>
      <c r="M29" s="38">
        <f t="shared" si="0"/>
        <v>0</v>
      </c>
      <c r="N29" s="39" t="str">
        <f t="shared" si="2"/>
        <v>Non</v>
      </c>
      <c r="O29" s="40" t="str">
        <f t="shared" si="3"/>
        <v>—</v>
      </c>
    </row>
    <row r="30" spans="1:15" x14ac:dyDescent="0.25">
      <c r="A30" s="20" t="s">
        <v>243</v>
      </c>
      <c r="B30" s="33">
        <v>45502</v>
      </c>
      <c r="C30" s="34" t="s">
        <v>21</v>
      </c>
      <c r="D30" s="34" t="s">
        <v>31</v>
      </c>
      <c r="E30" s="20">
        <v>50</v>
      </c>
      <c r="F30" s="20">
        <v>50</v>
      </c>
      <c r="G30" s="35">
        <f t="shared" si="1"/>
        <v>15040.322580645161</v>
      </c>
      <c r="H30" s="36">
        <v>3.73</v>
      </c>
      <c r="I30" s="33">
        <v>45509</v>
      </c>
      <c r="J30" s="33">
        <v>45509</v>
      </c>
      <c r="K30" s="37">
        <v>7</v>
      </c>
      <c r="L30" s="37">
        <v>7</v>
      </c>
      <c r="M30" s="38">
        <f t="shared" si="0"/>
        <v>0</v>
      </c>
      <c r="N30" s="39" t="str">
        <f t="shared" si="2"/>
        <v>Non</v>
      </c>
      <c r="O30" s="40" t="str">
        <f t="shared" si="3"/>
        <v>—</v>
      </c>
    </row>
    <row r="31" spans="1:15" x14ac:dyDescent="0.25">
      <c r="A31" s="47" t="s">
        <v>244</v>
      </c>
      <c r="B31" s="48">
        <v>45503</v>
      </c>
      <c r="C31" s="49" t="s">
        <v>64</v>
      </c>
      <c r="D31" s="49" t="s">
        <v>63</v>
      </c>
      <c r="E31" s="47">
        <v>15</v>
      </c>
      <c r="F31" s="47">
        <v>10</v>
      </c>
      <c r="G31" s="35">
        <f t="shared" si="1"/>
        <v>15000</v>
      </c>
      <c r="H31" s="50">
        <v>3.72</v>
      </c>
      <c r="I31" s="48">
        <v>45510</v>
      </c>
      <c r="J31" s="48">
        <v>45516</v>
      </c>
      <c r="K31" s="51">
        <v>7</v>
      </c>
      <c r="L31" s="51">
        <v>13</v>
      </c>
      <c r="M31" s="52">
        <f t="shared" si="0"/>
        <v>6</v>
      </c>
      <c r="N31" s="39" t="str">
        <f t="shared" si="2"/>
        <v>Oui</v>
      </c>
      <c r="O31" s="58" t="str">
        <f>IF(AND(E31&lt;&gt;F31,K31&lt;&gt;L31),"Retard + Livraison incomplète",IF(E31&lt;&gt;F31,"Livraison incomplète",IF(K31&lt;&gt;L31,"Retard livraison","—")))</f>
        <v>Retard + Livraison incomplète</v>
      </c>
    </row>
    <row r="32" spans="1:15" x14ac:dyDescent="0.25">
      <c r="A32" s="41" t="s">
        <v>245</v>
      </c>
      <c r="B32" s="42">
        <v>45505</v>
      </c>
      <c r="C32" s="43" t="s">
        <v>68</v>
      </c>
      <c r="D32" s="43" t="s">
        <v>94</v>
      </c>
      <c r="E32" s="41">
        <v>15</v>
      </c>
      <c r="F32" s="41">
        <v>14</v>
      </c>
      <c r="G32" s="35">
        <f t="shared" si="1"/>
        <v>2016.1290322580644</v>
      </c>
      <c r="H32" s="44">
        <v>0.5</v>
      </c>
      <c r="I32" s="42">
        <v>45506</v>
      </c>
      <c r="J32" s="42">
        <v>45506</v>
      </c>
      <c r="K32" s="45">
        <v>1</v>
      </c>
      <c r="L32" s="45">
        <v>1</v>
      </c>
      <c r="M32" s="38">
        <f t="shared" si="0"/>
        <v>0</v>
      </c>
      <c r="N32" s="39" t="str">
        <f t="shared" si="2"/>
        <v>Oui</v>
      </c>
      <c r="O32" s="40" t="str">
        <f t="shared" si="3"/>
        <v>Livraison incomplète</v>
      </c>
    </row>
    <row r="33" spans="1:15" x14ac:dyDescent="0.25">
      <c r="A33" s="53" t="s">
        <v>246</v>
      </c>
      <c r="B33" s="54">
        <v>45506</v>
      </c>
      <c r="C33" s="55" t="s">
        <v>56</v>
      </c>
      <c r="D33" s="55" t="s">
        <v>55</v>
      </c>
      <c r="E33" s="53">
        <v>200</v>
      </c>
      <c r="F33" s="53">
        <v>200</v>
      </c>
      <c r="G33" s="35">
        <f t="shared" si="1"/>
        <v>1209.6774193548385</v>
      </c>
      <c r="H33" s="56">
        <v>0.3</v>
      </c>
      <c r="I33" s="54">
        <v>45508</v>
      </c>
      <c r="J33" s="54">
        <v>45508</v>
      </c>
      <c r="K33" s="57">
        <v>2</v>
      </c>
      <c r="L33" s="57">
        <v>2</v>
      </c>
      <c r="M33" s="38">
        <f t="shared" si="0"/>
        <v>0</v>
      </c>
      <c r="N33" s="39" t="str">
        <f t="shared" si="2"/>
        <v>Non</v>
      </c>
      <c r="O33" s="40" t="str">
        <f t="shared" si="3"/>
        <v>—</v>
      </c>
    </row>
    <row r="34" spans="1:15" x14ac:dyDescent="0.25">
      <c r="A34" s="41" t="s">
        <v>247</v>
      </c>
      <c r="B34" s="42">
        <v>45507</v>
      </c>
      <c r="C34" s="43" t="s">
        <v>51</v>
      </c>
      <c r="D34" s="43" t="s">
        <v>50</v>
      </c>
      <c r="E34" s="41">
        <v>40</v>
      </c>
      <c r="F34" s="41">
        <v>40</v>
      </c>
      <c r="G34" s="35">
        <f t="shared" si="1"/>
        <v>2016.1290322580644</v>
      </c>
      <c r="H34" s="44">
        <v>0.5</v>
      </c>
      <c r="I34" s="42">
        <v>45510</v>
      </c>
      <c r="J34" s="42">
        <v>45513</v>
      </c>
      <c r="K34" s="45">
        <v>3</v>
      </c>
      <c r="L34" s="45">
        <v>6</v>
      </c>
      <c r="M34" s="46">
        <f t="shared" si="0"/>
        <v>3</v>
      </c>
      <c r="N34" s="39" t="str">
        <f t="shared" si="2"/>
        <v>Non</v>
      </c>
      <c r="O34" s="40" t="str">
        <f t="shared" si="3"/>
        <v>Retard livraison</v>
      </c>
    </row>
    <row r="35" spans="1:15" x14ac:dyDescent="0.25">
      <c r="A35" s="53" t="s">
        <v>248</v>
      </c>
      <c r="B35" s="54">
        <v>45509</v>
      </c>
      <c r="C35" s="55" t="s">
        <v>84</v>
      </c>
      <c r="D35" s="55" t="s">
        <v>83</v>
      </c>
      <c r="E35" s="53">
        <v>5</v>
      </c>
      <c r="F35" s="53">
        <v>5</v>
      </c>
      <c r="G35" s="35">
        <f t="shared" si="1"/>
        <v>22056.451612903224</v>
      </c>
      <c r="H35" s="56">
        <v>5.47</v>
      </c>
      <c r="I35" s="54">
        <v>45513</v>
      </c>
      <c r="J35" s="54">
        <v>45513</v>
      </c>
      <c r="K35" s="57">
        <v>4</v>
      </c>
      <c r="L35" s="57">
        <v>4</v>
      </c>
      <c r="M35" s="38">
        <f t="shared" si="0"/>
        <v>0</v>
      </c>
      <c r="N35" s="39" t="str">
        <f t="shared" si="2"/>
        <v>Non</v>
      </c>
      <c r="O35" s="40" t="str">
        <f t="shared" si="3"/>
        <v>—</v>
      </c>
    </row>
    <row r="36" spans="1:15" x14ac:dyDescent="0.25">
      <c r="A36" s="41" t="s">
        <v>249</v>
      </c>
      <c r="B36" s="42">
        <v>45510</v>
      </c>
      <c r="C36" s="43" t="s">
        <v>68</v>
      </c>
      <c r="D36" s="43" t="s">
        <v>92</v>
      </c>
      <c r="E36" s="41">
        <v>20</v>
      </c>
      <c r="F36" s="41">
        <v>18</v>
      </c>
      <c r="G36" s="35">
        <f t="shared" si="1"/>
        <v>3024.1935483870966</v>
      </c>
      <c r="H36" s="44">
        <v>0.75</v>
      </c>
      <c r="I36" s="42">
        <v>45511</v>
      </c>
      <c r="J36" s="42">
        <v>45511</v>
      </c>
      <c r="K36" s="45">
        <v>1</v>
      </c>
      <c r="L36" s="45">
        <v>1</v>
      </c>
      <c r="M36" s="38">
        <f t="shared" si="0"/>
        <v>0</v>
      </c>
      <c r="N36" s="39" t="str">
        <f t="shared" si="2"/>
        <v>Oui</v>
      </c>
      <c r="O36" s="40" t="str">
        <f t="shared" si="3"/>
        <v>Livraison incomplète</v>
      </c>
    </row>
    <row r="37" spans="1:15" x14ac:dyDescent="0.25">
      <c r="A37" s="41" t="s">
        <v>250</v>
      </c>
      <c r="B37" s="42">
        <v>45511</v>
      </c>
      <c r="C37" s="43" t="s">
        <v>27</v>
      </c>
      <c r="D37" s="43" t="s">
        <v>29</v>
      </c>
      <c r="E37" s="41">
        <v>40</v>
      </c>
      <c r="F37" s="41">
        <v>40</v>
      </c>
      <c r="G37" s="35">
        <f t="shared" si="1"/>
        <v>12016.129032258064</v>
      </c>
      <c r="H37" s="44">
        <v>2.98</v>
      </c>
      <c r="I37" s="42">
        <v>45518</v>
      </c>
      <c r="J37" s="42">
        <v>45519</v>
      </c>
      <c r="K37" s="45">
        <v>7</v>
      </c>
      <c r="L37" s="45">
        <v>8</v>
      </c>
      <c r="M37" s="46">
        <f t="shared" si="0"/>
        <v>1</v>
      </c>
      <c r="N37" s="39" t="str">
        <f t="shared" si="2"/>
        <v>Non</v>
      </c>
      <c r="O37" s="40" t="str">
        <f t="shared" si="3"/>
        <v>Retard livraison</v>
      </c>
    </row>
    <row r="38" spans="1:15" x14ac:dyDescent="0.25">
      <c r="A38" s="20" t="s">
        <v>251</v>
      </c>
      <c r="B38" s="33">
        <v>45512</v>
      </c>
      <c r="C38" s="34" t="s">
        <v>41</v>
      </c>
      <c r="D38" s="34" t="s">
        <v>40</v>
      </c>
      <c r="E38" s="20">
        <v>100</v>
      </c>
      <c r="F38" s="20">
        <v>100</v>
      </c>
      <c r="G38" s="35">
        <f t="shared" si="1"/>
        <v>3508.0645161290322</v>
      </c>
      <c r="H38" s="36">
        <v>0.87</v>
      </c>
      <c r="I38" s="33">
        <v>45515</v>
      </c>
      <c r="J38" s="33">
        <v>45515</v>
      </c>
      <c r="K38" s="37">
        <v>3</v>
      </c>
      <c r="L38" s="37">
        <v>3</v>
      </c>
      <c r="M38" s="38">
        <f t="shared" si="0"/>
        <v>0</v>
      </c>
      <c r="N38" s="39" t="str">
        <f t="shared" si="2"/>
        <v>Non</v>
      </c>
      <c r="O38" s="40" t="str">
        <f t="shared" si="3"/>
        <v>—</v>
      </c>
    </row>
    <row r="39" spans="1:15" x14ac:dyDescent="0.25">
      <c r="A39" s="41" t="s">
        <v>252</v>
      </c>
      <c r="B39" s="42">
        <v>45514</v>
      </c>
      <c r="C39" s="43" t="s">
        <v>131</v>
      </c>
      <c r="D39" s="43" t="s">
        <v>130</v>
      </c>
      <c r="E39" s="41">
        <v>20</v>
      </c>
      <c r="F39" s="41">
        <v>18</v>
      </c>
      <c r="G39" s="35">
        <f t="shared" si="1"/>
        <v>8508.0645161290322</v>
      </c>
      <c r="H39" s="44">
        <v>2.11</v>
      </c>
      <c r="I39" s="42">
        <v>45519</v>
      </c>
      <c r="J39" s="42">
        <v>45519</v>
      </c>
      <c r="K39" s="45">
        <v>5</v>
      </c>
      <c r="L39" s="45">
        <v>5</v>
      </c>
      <c r="M39" s="38">
        <f t="shared" si="0"/>
        <v>0</v>
      </c>
      <c r="N39" s="39" t="str">
        <f t="shared" si="2"/>
        <v>Oui</v>
      </c>
      <c r="O39" s="40" t="str">
        <f t="shared" si="3"/>
        <v>Livraison incomplète</v>
      </c>
    </row>
    <row r="40" spans="1:15" x14ac:dyDescent="0.25">
      <c r="A40" s="20" t="s">
        <v>253</v>
      </c>
      <c r="B40" s="33">
        <v>45516</v>
      </c>
      <c r="C40" s="34" t="s">
        <v>116</v>
      </c>
      <c r="D40" s="34" t="s">
        <v>120</v>
      </c>
      <c r="E40" s="20">
        <v>70</v>
      </c>
      <c r="F40" s="20">
        <v>70</v>
      </c>
      <c r="G40" s="35">
        <f t="shared" si="1"/>
        <v>6008.0645161290322</v>
      </c>
      <c r="H40" s="36">
        <v>1.49</v>
      </c>
      <c r="I40" s="33">
        <v>45520</v>
      </c>
      <c r="J40" s="33">
        <v>45520</v>
      </c>
      <c r="K40" s="37">
        <v>4</v>
      </c>
      <c r="L40" s="37">
        <v>4</v>
      </c>
      <c r="M40" s="38">
        <f t="shared" si="0"/>
        <v>0</v>
      </c>
      <c r="N40" s="39" t="str">
        <f t="shared" si="2"/>
        <v>Non</v>
      </c>
      <c r="O40" s="40" t="str">
        <f t="shared" si="3"/>
        <v>—</v>
      </c>
    </row>
    <row r="41" spans="1:15" x14ac:dyDescent="0.25">
      <c r="A41" s="53" t="s">
        <v>254</v>
      </c>
      <c r="B41" s="54">
        <v>45517</v>
      </c>
      <c r="C41" s="55" t="s">
        <v>68</v>
      </c>
      <c r="D41" s="55" t="s">
        <v>94</v>
      </c>
      <c r="E41" s="53">
        <v>15</v>
      </c>
      <c r="F41" s="53">
        <v>15</v>
      </c>
      <c r="G41" s="35">
        <f t="shared" si="1"/>
        <v>2016.1290322580644</v>
      </c>
      <c r="H41" s="56">
        <v>0.5</v>
      </c>
      <c r="I41" s="54">
        <v>45518</v>
      </c>
      <c r="J41" s="54">
        <v>45518</v>
      </c>
      <c r="K41" s="57">
        <v>1</v>
      </c>
      <c r="L41" s="57">
        <v>1</v>
      </c>
      <c r="M41" s="38">
        <f t="shared" si="0"/>
        <v>0</v>
      </c>
      <c r="N41" s="39" t="str">
        <f t="shared" si="2"/>
        <v>Non</v>
      </c>
      <c r="O41" s="40" t="str">
        <f t="shared" si="3"/>
        <v>—</v>
      </c>
    </row>
    <row r="42" spans="1:15" x14ac:dyDescent="0.25">
      <c r="A42" s="20" t="s">
        <v>255</v>
      </c>
      <c r="B42" s="33">
        <v>45518</v>
      </c>
      <c r="C42" s="34" t="s">
        <v>77</v>
      </c>
      <c r="D42" s="34" t="s">
        <v>112</v>
      </c>
      <c r="E42" s="20">
        <v>200</v>
      </c>
      <c r="F42" s="20">
        <v>200</v>
      </c>
      <c r="G42" s="35">
        <f t="shared" si="1"/>
        <v>806.45161290322585</v>
      </c>
      <c r="H42" s="36">
        <v>0.2</v>
      </c>
      <c r="I42" s="33">
        <v>45521</v>
      </c>
      <c r="J42" s="33">
        <v>45521</v>
      </c>
      <c r="K42" s="37">
        <v>3</v>
      </c>
      <c r="L42" s="37">
        <v>3</v>
      </c>
      <c r="M42" s="38">
        <f t="shared" si="0"/>
        <v>0</v>
      </c>
      <c r="N42" s="39" t="str">
        <f t="shared" si="2"/>
        <v>Non</v>
      </c>
      <c r="O42" s="40" t="str">
        <f t="shared" si="3"/>
        <v>—</v>
      </c>
    </row>
    <row r="43" spans="1:15" x14ac:dyDescent="0.25">
      <c r="A43" s="47" t="s">
        <v>256</v>
      </c>
      <c r="B43" s="48">
        <v>45520</v>
      </c>
      <c r="C43" s="49" t="s">
        <v>64</v>
      </c>
      <c r="D43" s="49" t="s">
        <v>63</v>
      </c>
      <c r="E43" s="47">
        <v>15</v>
      </c>
      <c r="F43" s="47">
        <v>15</v>
      </c>
      <c r="G43" s="35">
        <f t="shared" si="1"/>
        <v>15000</v>
      </c>
      <c r="H43" s="50">
        <v>3.72</v>
      </c>
      <c r="I43" s="48">
        <v>45527</v>
      </c>
      <c r="J43" s="48">
        <v>45531</v>
      </c>
      <c r="K43" s="51">
        <v>7</v>
      </c>
      <c r="L43" s="51">
        <v>11</v>
      </c>
      <c r="M43" s="52">
        <f t="shared" si="0"/>
        <v>4</v>
      </c>
      <c r="N43" s="39" t="str">
        <f t="shared" si="2"/>
        <v>Non</v>
      </c>
      <c r="O43" s="40" t="str">
        <f t="shared" si="3"/>
        <v>Retard livraison</v>
      </c>
    </row>
    <row r="44" spans="1:15" x14ac:dyDescent="0.25">
      <c r="A44" s="20" t="s">
        <v>257</v>
      </c>
      <c r="B44" s="33">
        <v>45521</v>
      </c>
      <c r="C44" s="34" t="s">
        <v>104</v>
      </c>
      <c r="D44" s="34" t="s">
        <v>103</v>
      </c>
      <c r="E44" s="20">
        <v>20</v>
      </c>
      <c r="F44" s="20">
        <v>20</v>
      </c>
      <c r="G44" s="35">
        <f t="shared" si="1"/>
        <v>4516.1290322580644</v>
      </c>
      <c r="H44" s="36">
        <v>1.1200000000000001</v>
      </c>
      <c r="I44" s="33">
        <v>45524</v>
      </c>
      <c r="J44" s="33">
        <v>45524</v>
      </c>
      <c r="K44" s="37">
        <v>3</v>
      </c>
      <c r="L44" s="37">
        <v>3</v>
      </c>
      <c r="M44" s="38">
        <f t="shared" si="0"/>
        <v>0</v>
      </c>
      <c r="N44" s="39" t="str">
        <f t="shared" si="2"/>
        <v>Non</v>
      </c>
      <c r="O44" s="40" t="str">
        <f t="shared" si="3"/>
        <v>—</v>
      </c>
    </row>
    <row r="45" spans="1:15" x14ac:dyDescent="0.25">
      <c r="A45" s="41" t="s">
        <v>258</v>
      </c>
      <c r="B45" s="42">
        <v>45523</v>
      </c>
      <c r="C45" s="43" t="s">
        <v>68</v>
      </c>
      <c r="D45" s="43" t="s">
        <v>92</v>
      </c>
      <c r="E45" s="41">
        <v>20</v>
      </c>
      <c r="F45" s="41">
        <v>15</v>
      </c>
      <c r="G45" s="35">
        <f t="shared" si="1"/>
        <v>3024.1935483870966</v>
      </c>
      <c r="H45" s="44">
        <v>0.75</v>
      </c>
      <c r="I45" s="42">
        <v>45524</v>
      </c>
      <c r="J45" s="42">
        <v>45524</v>
      </c>
      <c r="K45" s="45">
        <v>1</v>
      </c>
      <c r="L45" s="45">
        <v>1</v>
      </c>
      <c r="M45" s="38">
        <f t="shared" si="0"/>
        <v>0</v>
      </c>
      <c r="N45" s="39" t="str">
        <f t="shared" si="2"/>
        <v>Oui</v>
      </c>
      <c r="O45" s="40" t="str">
        <f t="shared" si="3"/>
        <v>Livraison incomplète</v>
      </c>
    </row>
    <row r="46" spans="1:15" x14ac:dyDescent="0.25">
      <c r="A46" s="20" t="s">
        <v>259</v>
      </c>
      <c r="B46" s="33">
        <v>45524</v>
      </c>
      <c r="C46" s="34" t="s">
        <v>46</v>
      </c>
      <c r="D46" s="34" t="s">
        <v>45</v>
      </c>
      <c r="E46" s="20">
        <v>60</v>
      </c>
      <c r="F46" s="20">
        <v>60</v>
      </c>
      <c r="G46" s="35">
        <f t="shared" si="1"/>
        <v>2500</v>
      </c>
      <c r="H46" s="36">
        <v>0.62</v>
      </c>
      <c r="I46" s="33">
        <v>45527</v>
      </c>
      <c r="J46" s="33">
        <v>45527</v>
      </c>
      <c r="K46" s="37">
        <v>3</v>
      </c>
      <c r="L46" s="37">
        <v>3</v>
      </c>
      <c r="M46" s="38">
        <f t="shared" si="0"/>
        <v>0</v>
      </c>
      <c r="N46" s="39" t="str">
        <f t="shared" si="2"/>
        <v>Non</v>
      </c>
      <c r="O46" s="40" t="str">
        <f t="shared" si="3"/>
        <v>—</v>
      </c>
    </row>
    <row r="47" spans="1:15" x14ac:dyDescent="0.25">
      <c r="A47" s="41" t="s">
        <v>260</v>
      </c>
      <c r="B47" s="42">
        <v>45525</v>
      </c>
      <c r="C47" s="43" t="s">
        <v>21</v>
      </c>
      <c r="D47" s="43" t="s">
        <v>24</v>
      </c>
      <c r="E47" s="41">
        <v>30</v>
      </c>
      <c r="F47" s="41">
        <v>30</v>
      </c>
      <c r="G47" s="35">
        <f t="shared" si="1"/>
        <v>65201.61290322581</v>
      </c>
      <c r="H47" s="44">
        <v>16.170000000000002</v>
      </c>
      <c r="I47" s="42">
        <v>45532</v>
      </c>
      <c r="J47" s="42">
        <v>45534</v>
      </c>
      <c r="K47" s="45">
        <v>7</v>
      </c>
      <c r="L47" s="45">
        <v>9</v>
      </c>
      <c r="M47" s="46">
        <f t="shared" si="0"/>
        <v>2</v>
      </c>
      <c r="N47" s="39" t="str">
        <f t="shared" si="2"/>
        <v>Non</v>
      </c>
      <c r="O47" s="40" t="str">
        <f t="shared" si="3"/>
        <v>Retard livraison</v>
      </c>
    </row>
    <row r="48" spans="1:15" x14ac:dyDescent="0.25">
      <c r="A48" s="20" t="s">
        <v>261</v>
      </c>
      <c r="B48" s="33">
        <v>45526</v>
      </c>
      <c r="C48" s="34" t="s">
        <v>141</v>
      </c>
      <c r="D48" s="34" t="s">
        <v>143</v>
      </c>
      <c r="E48" s="20">
        <v>40</v>
      </c>
      <c r="F48" s="20">
        <v>40</v>
      </c>
      <c r="G48" s="35">
        <f t="shared" si="1"/>
        <v>3508.0645161290322</v>
      </c>
      <c r="H48" s="36">
        <v>0.87</v>
      </c>
      <c r="I48" s="33">
        <v>45530</v>
      </c>
      <c r="J48" s="33">
        <v>45530</v>
      </c>
      <c r="K48" s="37">
        <v>4</v>
      </c>
      <c r="L48" s="37">
        <v>4</v>
      </c>
      <c r="M48" s="38">
        <f t="shared" si="0"/>
        <v>0</v>
      </c>
      <c r="N48" s="39" t="str">
        <f t="shared" si="2"/>
        <v>Non</v>
      </c>
      <c r="O48" s="40" t="str">
        <f t="shared" si="3"/>
        <v>—</v>
      </c>
    </row>
    <row r="49" spans="1:15" x14ac:dyDescent="0.25">
      <c r="A49" s="41" t="s">
        <v>262</v>
      </c>
      <c r="B49" s="42">
        <v>45528</v>
      </c>
      <c r="C49" s="43" t="s">
        <v>68</v>
      </c>
      <c r="D49" s="43" t="s">
        <v>94</v>
      </c>
      <c r="E49" s="41">
        <v>15</v>
      </c>
      <c r="F49" s="41">
        <v>13</v>
      </c>
      <c r="G49" s="35">
        <f t="shared" si="1"/>
        <v>2016.1290322580644</v>
      </c>
      <c r="H49" s="44">
        <v>0.5</v>
      </c>
      <c r="I49" s="42">
        <v>45529</v>
      </c>
      <c r="J49" s="42">
        <v>45529</v>
      </c>
      <c r="K49" s="45">
        <v>1</v>
      </c>
      <c r="L49" s="45">
        <v>1</v>
      </c>
      <c r="M49" s="38">
        <f t="shared" si="0"/>
        <v>0</v>
      </c>
      <c r="N49" s="39" t="str">
        <f t="shared" si="2"/>
        <v>Oui</v>
      </c>
      <c r="O49" s="40" t="str">
        <f t="shared" si="3"/>
        <v>Livraison incomplète</v>
      </c>
    </row>
    <row r="50" spans="1:15" x14ac:dyDescent="0.25">
      <c r="A50" s="20" t="s">
        <v>263</v>
      </c>
      <c r="B50" s="33">
        <v>45530</v>
      </c>
      <c r="C50" s="34" t="s">
        <v>56</v>
      </c>
      <c r="D50" s="34" t="s">
        <v>58</v>
      </c>
      <c r="E50" s="20">
        <v>150</v>
      </c>
      <c r="F50" s="20">
        <v>150</v>
      </c>
      <c r="G50" s="35">
        <f t="shared" si="1"/>
        <v>1814.516129032258</v>
      </c>
      <c r="H50" s="36">
        <v>0.45</v>
      </c>
      <c r="I50" s="33">
        <v>45532</v>
      </c>
      <c r="J50" s="33">
        <v>45532</v>
      </c>
      <c r="K50" s="37">
        <v>2</v>
      </c>
      <c r="L50" s="37">
        <v>2</v>
      </c>
      <c r="M50" s="38">
        <f t="shared" si="0"/>
        <v>0</v>
      </c>
      <c r="N50" s="39" t="str">
        <f t="shared" si="2"/>
        <v>Non</v>
      </c>
      <c r="O50" s="40" t="str">
        <f t="shared" si="3"/>
        <v>—</v>
      </c>
    </row>
    <row r="51" spans="1:15" x14ac:dyDescent="0.25">
      <c r="A51" s="41" t="s">
        <v>264</v>
      </c>
      <c r="B51" s="42">
        <v>45532</v>
      </c>
      <c r="C51" s="43" t="s">
        <v>110</v>
      </c>
      <c r="D51" s="43" t="s">
        <v>127</v>
      </c>
      <c r="E51" s="41">
        <v>10</v>
      </c>
      <c r="F51" s="41">
        <v>10</v>
      </c>
      <c r="G51" s="35">
        <f t="shared" si="1"/>
        <v>9032.2580645161288</v>
      </c>
      <c r="H51" s="44">
        <v>2.2400000000000002</v>
      </c>
      <c r="I51" s="42">
        <v>45535</v>
      </c>
      <c r="J51" s="42">
        <v>45536</v>
      </c>
      <c r="K51" s="45">
        <v>3</v>
      </c>
      <c r="L51" s="45">
        <v>4</v>
      </c>
      <c r="M51" s="46">
        <f t="shared" si="0"/>
        <v>1</v>
      </c>
      <c r="N51" s="39" t="str">
        <f t="shared" si="2"/>
        <v>Non</v>
      </c>
      <c r="O51" s="40" t="str">
        <f t="shared" si="3"/>
        <v>Retard livraison</v>
      </c>
    </row>
    <row r="52" spans="1:15" x14ac:dyDescent="0.25">
      <c r="A52" s="59"/>
      <c r="B52" s="59"/>
      <c r="C52" s="60" t="s">
        <v>153</v>
      </c>
      <c r="D52" s="59"/>
      <c r="E52" s="59">
        <f>SUM(E2:E51)</f>
        <v>2695</v>
      </c>
      <c r="F52" s="59">
        <f>SUM(F2:F51)</f>
        <v>2654</v>
      </c>
      <c r="G52" s="59"/>
      <c r="H52" s="59"/>
      <c r="I52" s="59"/>
      <c r="J52" s="59"/>
      <c r="K52" s="61">
        <f>AVERAGE(K2:K51)</f>
        <v>3.4</v>
      </c>
      <c r="L52" s="61">
        <f>AVERAGE(L2:L51)</f>
        <v>4.0999999999999996</v>
      </c>
      <c r="M52" s="61">
        <f>AVERAGE(M2:M51)</f>
        <v>0.7</v>
      </c>
      <c r="N52" s="59"/>
      <c r="O52" s="59"/>
    </row>
  </sheetData>
  <conditionalFormatting sqref="N2:N51">
    <cfRule type="expression" dxfId="3" priority="3">
      <formula>N2="Oui"</formula>
    </cfRule>
    <cfRule type="expression" dxfId="2" priority="4">
      <formula>N2="Non"</formula>
    </cfRule>
  </conditionalFormatting>
  <conditionalFormatting sqref="O2:O51">
    <cfRule type="expression" dxfId="1" priority="1">
      <formula>O2="Retard livraison"</formula>
    </cfRule>
    <cfRule type="expression" dxfId="0" priority="2">
      <formula>O2="Livraison incomplète"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D4C6D-DE5B-43B2-B471-17703C7DFD68}">
  <dimension ref="A1:H22"/>
  <sheetViews>
    <sheetView workbookViewId="0">
      <selection activeCell="H4" sqref="H4"/>
    </sheetView>
  </sheetViews>
  <sheetFormatPr baseColWidth="10" defaultRowHeight="15" x14ac:dyDescent="0.25"/>
  <cols>
    <col min="1" max="1" width="24" bestFit="1" customWidth="1"/>
    <col min="3" max="3" width="9.28515625" bestFit="1" customWidth="1"/>
    <col min="8" max="8" width="15.140625" customWidth="1"/>
  </cols>
  <sheetData>
    <row r="1" spans="1:8" ht="15.75" x14ac:dyDescent="0.25">
      <c r="A1" s="32" t="s">
        <v>265</v>
      </c>
      <c r="B1" s="32"/>
      <c r="C1" s="32"/>
      <c r="D1" s="32"/>
      <c r="E1" s="32"/>
      <c r="F1" s="32"/>
      <c r="G1" s="32"/>
      <c r="H1" s="32"/>
    </row>
    <row r="3" spans="1:8" ht="36" x14ac:dyDescent="0.25">
      <c r="A3" s="1" t="s">
        <v>3</v>
      </c>
      <c r="B3" s="1" t="s">
        <v>266</v>
      </c>
      <c r="C3" s="1" t="s">
        <v>267</v>
      </c>
      <c r="D3" s="1" t="s">
        <v>268</v>
      </c>
      <c r="E3" s="1" t="s">
        <v>269</v>
      </c>
      <c r="F3" s="1" t="s">
        <v>270</v>
      </c>
      <c r="G3" s="1" t="s">
        <v>271</v>
      </c>
      <c r="H3" s="1" t="s">
        <v>165</v>
      </c>
    </row>
    <row r="4" spans="1:8" x14ac:dyDescent="0.25">
      <c r="A4" s="24" t="s">
        <v>64</v>
      </c>
      <c r="B4" s="20">
        <f>COUNTIF('Flux logistiques'!C:C,A4)</f>
        <v>4</v>
      </c>
      <c r="C4" s="20">
        <f>AVERAGEIF('Flux logistiques'!C:C,A4,'Flux logistiques'!K:K)</f>
        <v>7</v>
      </c>
      <c r="D4" s="62">
        <f>AVERAGEIF('Flux logistiques'!C:C,A4,'Flux logistiques'!L:L)</f>
        <v>11.75</v>
      </c>
      <c r="E4" s="62">
        <f>AVERAGEIF('Flux logistiques'!C:C,A4,'Flux logistiques'!M:M)</f>
        <v>4.75</v>
      </c>
      <c r="F4" s="20">
        <f>COUNTIFS('Flux logistiques'!C:C,A4,'Flux logistiques'!N:N,"Oui")</f>
        <v>1</v>
      </c>
      <c r="G4" s="21">
        <f>F4/B4</f>
        <v>0.25</v>
      </c>
      <c r="H4" s="63" t="str">
        <f>IF(G4&gt;=75%,"🔴 Peu fiable",IF(G4&gt;=40%,"⚠️ Variable",IF(G4&gt;=10%,"✅ Fiable","✅ Excellent")))</f>
        <v>✅ Fiable</v>
      </c>
    </row>
    <row r="5" spans="1:8" x14ac:dyDescent="0.25">
      <c r="A5" s="64" t="s">
        <v>27</v>
      </c>
      <c r="B5" s="20">
        <f>COUNTIF('Flux logistiques'!C:C,A5)</f>
        <v>3</v>
      </c>
      <c r="C5" s="20">
        <f>AVERAGEIF('Flux logistiques'!C:C,A5,'Flux logistiques'!K:K)</f>
        <v>7</v>
      </c>
      <c r="D5" s="62">
        <f>AVERAGEIF('Flux logistiques'!C:C,A5,'Flux logistiques'!L:L)</f>
        <v>9</v>
      </c>
      <c r="E5" s="62">
        <f>AVERAGEIF('Flux logistiques'!C:C,A5,'Flux logistiques'!M:M)</f>
        <v>2</v>
      </c>
      <c r="F5" s="20">
        <f>COUNTIFS('Flux logistiques'!C:C,A5,'Flux logistiques'!N:N,"Oui")</f>
        <v>0</v>
      </c>
      <c r="G5" s="21">
        <f t="shared" ref="G5:G22" si="0">F5/B5</f>
        <v>0</v>
      </c>
      <c r="H5" s="65" t="str">
        <f t="shared" ref="H5:H22" si="1">IF(G5&gt;=75%,"🔴 Peu fiable",IF(G5&gt;=40%,"⚠️ Variable",IF(G5&gt;=10%,"✅ Fiable","✅ Excellent")))</f>
        <v>✅ Excellent</v>
      </c>
    </row>
    <row r="6" spans="1:8" x14ac:dyDescent="0.25">
      <c r="A6" s="24" t="s">
        <v>51</v>
      </c>
      <c r="B6" s="20">
        <f>COUNTIF('Flux logistiques'!C:C,A6)</f>
        <v>2</v>
      </c>
      <c r="C6" s="20">
        <f>AVERAGEIF('Flux logistiques'!C:C,A6,'Flux logistiques'!K:K)</f>
        <v>3</v>
      </c>
      <c r="D6" s="62">
        <f>AVERAGEIF('Flux logistiques'!C:C,A6,'Flux logistiques'!L:L)</f>
        <v>5.5</v>
      </c>
      <c r="E6" s="62">
        <f>AVERAGEIF('Flux logistiques'!C:C,A6,'Flux logistiques'!M:M)</f>
        <v>2.5</v>
      </c>
      <c r="F6" s="20">
        <f>COUNTIFS('Flux logistiques'!C:C,A6,'Flux logistiques'!N:N,"Oui")</f>
        <v>0</v>
      </c>
      <c r="G6" s="21">
        <f t="shared" si="0"/>
        <v>0</v>
      </c>
      <c r="H6" s="65" t="str">
        <f t="shared" si="1"/>
        <v>✅ Excellent</v>
      </c>
    </row>
    <row r="7" spans="1:8" x14ac:dyDescent="0.25">
      <c r="A7" s="64" t="s">
        <v>123</v>
      </c>
      <c r="B7" s="20">
        <f>COUNTIF('Flux logistiques'!C:C,A7)</f>
        <v>1</v>
      </c>
      <c r="C7" s="20">
        <f>AVERAGEIF('Flux logistiques'!C:C,A7,'Flux logistiques'!K:K)</f>
        <v>3</v>
      </c>
      <c r="D7" s="62">
        <f>AVERAGEIF('Flux logistiques'!C:C,A7,'Flux logistiques'!L:L)</f>
        <v>3</v>
      </c>
      <c r="E7" s="62">
        <f>AVERAGEIF('Flux logistiques'!C:C,A7,'Flux logistiques'!M:M)</f>
        <v>0</v>
      </c>
      <c r="F7" s="20">
        <f>COUNTIFS('Flux logistiques'!C:C,A7,'Flux logistiques'!N:N,"Oui")</f>
        <v>1</v>
      </c>
      <c r="G7" s="21">
        <f t="shared" si="0"/>
        <v>1</v>
      </c>
      <c r="H7" s="66" t="str">
        <f t="shared" si="1"/>
        <v>🔴 Peu fiable</v>
      </c>
    </row>
    <row r="8" spans="1:8" x14ac:dyDescent="0.25">
      <c r="A8" s="24" t="s">
        <v>131</v>
      </c>
      <c r="B8" s="20">
        <f>COUNTIF('Flux logistiques'!C:C,A8)</f>
        <v>1</v>
      </c>
      <c r="C8" s="20">
        <f>AVERAGEIF('Flux logistiques'!C:C,A8,'Flux logistiques'!K:K)</f>
        <v>5</v>
      </c>
      <c r="D8" s="62">
        <f>AVERAGEIF('Flux logistiques'!C:C,A8,'Flux logistiques'!L:L)</f>
        <v>5</v>
      </c>
      <c r="E8" s="62">
        <f>AVERAGEIF('Flux logistiques'!C:C,A8,'Flux logistiques'!M:M)</f>
        <v>0</v>
      </c>
      <c r="F8" s="20">
        <f>COUNTIFS('Flux logistiques'!C:C,A8,'Flux logistiques'!N:N,"Oui")</f>
        <v>1</v>
      </c>
      <c r="G8" s="21">
        <f t="shared" si="0"/>
        <v>1</v>
      </c>
      <c r="H8" s="66" t="str">
        <f t="shared" si="1"/>
        <v>🔴 Peu fiable</v>
      </c>
    </row>
    <row r="9" spans="1:8" x14ac:dyDescent="0.25">
      <c r="A9" s="64" t="s">
        <v>68</v>
      </c>
      <c r="B9" s="20">
        <f>COUNTIF('Flux logistiques'!C:C,A9)</f>
        <v>12</v>
      </c>
      <c r="C9" s="20">
        <f>AVERAGEIF('Flux logistiques'!C:C,A9,'Flux logistiques'!K:K)</f>
        <v>1</v>
      </c>
      <c r="D9" s="62">
        <f>AVERAGEIF('Flux logistiques'!C:C,A9,'Flux logistiques'!L:L)</f>
        <v>1</v>
      </c>
      <c r="E9" s="62">
        <f>AVERAGEIF('Flux logistiques'!C:C,A9,'Flux logistiques'!M:M)</f>
        <v>0</v>
      </c>
      <c r="F9" s="20">
        <f>COUNTIFS('Flux logistiques'!C:C,A9,'Flux logistiques'!N:N,"Oui")</f>
        <v>7</v>
      </c>
      <c r="G9" s="21">
        <f t="shared" si="0"/>
        <v>0.58333333333333337</v>
      </c>
      <c r="H9" s="67" t="str">
        <f>IF(G9&gt;=75%,"🔴 Peu fiable",IF(G9&gt;=40%,"⚠️ Variable",IF(G9&gt;=10%,"✅ Fiable","✅ Excellent")))</f>
        <v>⚠️ Variable</v>
      </c>
    </row>
    <row r="10" spans="1:8" x14ac:dyDescent="0.25">
      <c r="A10" s="24" t="s">
        <v>116</v>
      </c>
      <c r="B10" s="20">
        <f>COUNTIF('Flux logistiques'!C:C,A10)</f>
        <v>2</v>
      </c>
      <c r="C10" s="20">
        <f>AVERAGEIF('Flux logistiques'!C:C,A10,'Flux logistiques'!K:K)</f>
        <v>4</v>
      </c>
      <c r="D10" s="62">
        <f>AVERAGEIF('Flux logistiques'!C:C,A10,'Flux logistiques'!L:L)</f>
        <v>4</v>
      </c>
      <c r="E10" s="62">
        <f>AVERAGEIF('Flux logistiques'!C:C,A10,'Flux logistiques'!M:M)</f>
        <v>0</v>
      </c>
      <c r="F10" s="20">
        <f>COUNTIFS('Flux logistiques'!C:C,A10,'Flux logistiques'!N:N,"Oui")</f>
        <v>1</v>
      </c>
      <c r="G10" s="21">
        <f t="shared" si="0"/>
        <v>0.5</v>
      </c>
      <c r="H10" s="67" t="str">
        <f t="shared" si="1"/>
        <v>⚠️ Variable</v>
      </c>
    </row>
    <row r="11" spans="1:8" x14ac:dyDescent="0.25">
      <c r="A11" s="64" t="s">
        <v>141</v>
      </c>
      <c r="B11" s="20">
        <f>COUNTIF('Flux logistiques'!C:C,A11)</f>
        <v>2</v>
      </c>
      <c r="C11" s="20">
        <f>AVERAGEIF('Flux logistiques'!C:C,A11,'Flux logistiques'!K:K)</f>
        <v>4</v>
      </c>
      <c r="D11" s="62">
        <f>AVERAGEIF('Flux logistiques'!C:C,A11,'Flux logistiques'!L:L)</f>
        <v>4.5</v>
      </c>
      <c r="E11" s="62">
        <f>AVERAGEIF('Flux logistiques'!C:C,A11,'Flux logistiques'!M:M)</f>
        <v>0.5</v>
      </c>
      <c r="F11" s="20">
        <f>COUNTIFS('Flux logistiques'!C:C,A11,'Flux logistiques'!N:N,"Oui")</f>
        <v>0</v>
      </c>
      <c r="G11" s="21">
        <f t="shared" si="0"/>
        <v>0</v>
      </c>
      <c r="H11" s="65" t="str">
        <f>IF(G11&gt;=75%,"🔴 Peu fiable",IF(G11&gt;=40%,"⚠️ Variable",IF(G11&gt;=10%,"✅ Fiable","✅ Excellent")))</f>
        <v>✅ Excellent</v>
      </c>
    </row>
    <row r="12" spans="1:8" x14ac:dyDescent="0.25">
      <c r="A12" s="24" t="s">
        <v>110</v>
      </c>
      <c r="B12" s="20">
        <f>COUNTIF('Flux logistiques'!C:C,A12)</f>
        <v>2</v>
      </c>
      <c r="C12" s="20">
        <f>AVERAGEIF('Flux logistiques'!C:C,A12,'Flux logistiques'!K:K)</f>
        <v>3</v>
      </c>
      <c r="D12" s="62">
        <f>AVERAGEIF('Flux logistiques'!C:C,A12,'Flux logistiques'!L:L)</f>
        <v>3.5</v>
      </c>
      <c r="E12" s="62">
        <f>AVERAGEIF('Flux logistiques'!C:C,A12,'Flux logistiques'!M:M)</f>
        <v>0.5</v>
      </c>
      <c r="F12" s="20">
        <f>COUNTIFS('Flux logistiques'!C:C,A12,'Flux logistiques'!N:N,"Oui")</f>
        <v>0</v>
      </c>
      <c r="G12" s="21">
        <f t="shared" si="0"/>
        <v>0</v>
      </c>
      <c r="H12" s="65" t="str">
        <f t="shared" si="1"/>
        <v>✅ Excellent</v>
      </c>
    </row>
    <row r="13" spans="1:8" x14ac:dyDescent="0.25">
      <c r="A13" s="64" t="s">
        <v>104</v>
      </c>
      <c r="B13" s="20">
        <f>COUNTIF('Flux logistiques'!C:C,A13)</f>
        <v>3</v>
      </c>
      <c r="C13" s="20">
        <f>AVERAGEIF('Flux logistiques'!C:C,A13,'Flux logistiques'!K:K)</f>
        <v>3</v>
      </c>
      <c r="D13" s="62">
        <f>AVERAGEIF('Flux logistiques'!C:C,A13,'Flux logistiques'!L:L)</f>
        <v>3.3333333333333335</v>
      </c>
      <c r="E13" s="62">
        <f>AVERAGEIF('Flux logistiques'!C:C,A13,'Flux logistiques'!M:M)</f>
        <v>0.33333333333333331</v>
      </c>
      <c r="F13" s="20">
        <f>COUNTIFS('Flux logistiques'!C:C,A13,'Flux logistiques'!N:N,"Oui")</f>
        <v>0</v>
      </c>
      <c r="G13" s="21">
        <f t="shared" si="0"/>
        <v>0</v>
      </c>
      <c r="H13" s="65" t="str">
        <f t="shared" si="1"/>
        <v>✅ Excellent</v>
      </c>
    </row>
    <row r="14" spans="1:8" x14ac:dyDescent="0.25">
      <c r="A14" s="24" t="s">
        <v>21</v>
      </c>
      <c r="B14" s="20">
        <f>COUNTIF('Flux logistiques'!C:C,A14)</f>
        <v>3</v>
      </c>
      <c r="C14" s="20">
        <f>AVERAGEIF('Flux logistiques'!C:C,A14,'Flux logistiques'!K:K)</f>
        <v>7</v>
      </c>
      <c r="D14" s="62">
        <f>AVERAGEIF('Flux logistiques'!C:C,A14,'Flux logistiques'!L:L)</f>
        <v>7.666666666666667</v>
      </c>
      <c r="E14" s="62">
        <f>AVERAGEIF('Flux logistiques'!C:C,A14,'Flux logistiques'!M:M)</f>
        <v>0.66666666666666663</v>
      </c>
      <c r="F14" s="20">
        <f>COUNTIFS('Flux logistiques'!C:C,A14,'Flux logistiques'!N:N,"Oui")</f>
        <v>0</v>
      </c>
      <c r="G14" s="21">
        <f t="shared" si="0"/>
        <v>0</v>
      </c>
      <c r="H14" s="65" t="str">
        <f t="shared" si="1"/>
        <v>✅ Excellent</v>
      </c>
    </row>
    <row r="15" spans="1:8" x14ac:dyDescent="0.25">
      <c r="A15" s="64" t="s">
        <v>56</v>
      </c>
      <c r="B15" s="20">
        <f>COUNTIF('Flux logistiques'!C:C,A15)</f>
        <v>4</v>
      </c>
      <c r="C15" s="20">
        <f>AVERAGEIF('Flux logistiques'!C:C,A15,'Flux logistiques'!K:K)</f>
        <v>2</v>
      </c>
      <c r="D15" s="62">
        <f>AVERAGEIF('Flux logistiques'!C:C,A15,'Flux logistiques'!L:L)</f>
        <v>2</v>
      </c>
      <c r="E15" s="62">
        <f>AVERAGEIF('Flux logistiques'!C:C,A15,'Flux logistiques'!M:M)</f>
        <v>0</v>
      </c>
      <c r="F15" s="20">
        <f>COUNTIFS('Flux logistiques'!C:C,A15,'Flux logistiques'!N:N,"Oui")</f>
        <v>0</v>
      </c>
      <c r="G15" s="21">
        <f t="shared" si="0"/>
        <v>0</v>
      </c>
      <c r="H15" s="65" t="str">
        <f t="shared" si="1"/>
        <v>✅ Excellent</v>
      </c>
    </row>
    <row r="16" spans="1:8" x14ac:dyDescent="0.25">
      <c r="A16" s="24" t="s">
        <v>41</v>
      </c>
      <c r="B16" s="20">
        <f>COUNTIF('Flux logistiques'!C:C,A16)</f>
        <v>2</v>
      </c>
      <c r="C16" s="20">
        <f>AVERAGEIF('Flux logistiques'!C:C,A16,'Flux logistiques'!K:K)</f>
        <v>3</v>
      </c>
      <c r="D16" s="62">
        <f>AVERAGEIF('Flux logistiques'!C:C,A16,'Flux logistiques'!L:L)</f>
        <v>3</v>
      </c>
      <c r="E16" s="62">
        <f>AVERAGEIF('Flux logistiques'!C:C,A16,'Flux logistiques'!M:M)</f>
        <v>0</v>
      </c>
      <c r="F16" s="20">
        <f>COUNTIFS('Flux logistiques'!C:C,A16,'Flux logistiques'!N:N,"Oui")</f>
        <v>0</v>
      </c>
      <c r="G16" s="21">
        <f t="shared" si="0"/>
        <v>0</v>
      </c>
      <c r="H16" s="65" t="str">
        <f t="shared" si="1"/>
        <v>✅ Excellent</v>
      </c>
    </row>
    <row r="17" spans="1:8" x14ac:dyDescent="0.25">
      <c r="A17" s="64" t="s">
        <v>46</v>
      </c>
      <c r="B17" s="20">
        <f>COUNTIF('Flux logistiques'!C:C,A17)</f>
        <v>3</v>
      </c>
      <c r="C17" s="20">
        <f>AVERAGEIF('Flux logistiques'!C:C,A17,'Flux logistiques'!K:K)</f>
        <v>3</v>
      </c>
      <c r="D17" s="62">
        <f>AVERAGEIF('Flux logistiques'!C:C,A17,'Flux logistiques'!L:L)</f>
        <v>3</v>
      </c>
      <c r="E17" s="62">
        <f>AVERAGEIF('Flux logistiques'!C:C,A17,'Flux logistiques'!M:M)</f>
        <v>0</v>
      </c>
      <c r="F17" s="20">
        <f>COUNTIFS('Flux logistiques'!C:C,A17,'Flux logistiques'!N:N,"Oui")</f>
        <v>0</v>
      </c>
      <c r="G17" s="21">
        <f t="shared" si="0"/>
        <v>0</v>
      </c>
      <c r="H17" s="65" t="str">
        <f t="shared" si="1"/>
        <v>✅ Excellent</v>
      </c>
    </row>
    <row r="18" spans="1:8" x14ac:dyDescent="0.25">
      <c r="A18" s="24" t="s">
        <v>77</v>
      </c>
      <c r="B18" s="20">
        <f>COUNTIF('Flux logistiques'!C:C,A18)</f>
        <v>2</v>
      </c>
      <c r="C18" s="20">
        <f>AVERAGEIF('Flux logistiques'!C:C,A18,'Flux logistiques'!K:K)</f>
        <v>3</v>
      </c>
      <c r="D18" s="62">
        <f>AVERAGEIF('Flux logistiques'!C:C,A18,'Flux logistiques'!L:L)</f>
        <v>3</v>
      </c>
      <c r="E18" s="62">
        <f>AVERAGEIF('Flux logistiques'!C:C,A18,'Flux logistiques'!M:M)</f>
        <v>0</v>
      </c>
      <c r="F18" s="20">
        <f>COUNTIFS('Flux logistiques'!C:C,A18,'Flux logistiques'!N:N,"Oui")</f>
        <v>0</v>
      </c>
      <c r="G18" s="21">
        <f t="shared" si="0"/>
        <v>0</v>
      </c>
      <c r="H18" s="65" t="str">
        <f t="shared" si="1"/>
        <v>✅ Excellent</v>
      </c>
    </row>
    <row r="19" spans="1:8" x14ac:dyDescent="0.25">
      <c r="A19" s="64" t="s">
        <v>61</v>
      </c>
      <c r="B19" s="20">
        <f>COUNTIF('Flux logistiques'!C:C,A19)</f>
        <v>1</v>
      </c>
      <c r="C19" s="20">
        <f>AVERAGEIF('Flux logistiques'!C:C,A19,'Flux logistiques'!K:K)</f>
        <v>5</v>
      </c>
      <c r="D19" s="62">
        <f>AVERAGEIF('Flux logistiques'!C:C,A19,'Flux logistiques'!L:L)</f>
        <v>5</v>
      </c>
      <c r="E19" s="62">
        <f>AVERAGEIF('Flux logistiques'!C:C,A19,'Flux logistiques'!M:M)</f>
        <v>0</v>
      </c>
      <c r="F19" s="20">
        <f>COUNTIFS('Flux logistiques'!C:C,A19,'Flux logistiques'!N:N,"Oui")</f>
        <v>0</v>
      </c>
      <c r="G19" s="21">
        <f t="shared" si="0"/>
        <v>0</v>
      </c>
      <c r="H19" s="65" t="str">
        <f t="shared" si="1"/>
        <v>✅ Excellent</v>
      </c>
    </row>
    <row r="20" spans="1:8" x14ac:dyDescent="0.25">
      <c r="A20" s="24" t="s">
        <v>90</v>
      </c>
      <c r="B20" s="20">
        <f>COUNTIF('Flux logistiques'!C:C,A20)</f>
        <v>1</v>
      </c>
      <c r="C20" s="20">
        <f>AVERAGEIF('Flux logistiques'!C:C,A20,'Flux logistiques'!K:K)</f>
        <v>2</v>
      </c>
      <c r="D20" s="62">
        <f>AVERAGEIF('Flux logistiques'!C:C,A20,'Flux logistiques'!L:L)</f>
        <v>2</v>
      </c>
      <c r="E20" s="62">
        <f>AVERAGEIF('Flux logistiques'!C:C,A20,'Flux logistiques'!M:M)</f>
        <v>0</v>
      </c>
      <c r="F20" s="20">
        <f>COUNTIFS('Flux logistiques'!C:C,A20,'Flux logistiques'!N:N,"Oui")</f>
        <v>0</v>
      </c>
      <c r="G20" s="21">
        <f t="shared" si="0"/>
        <v>0</v>
      </c>
      <c r="H20" s="65" t="str">
        <f t="shared" si="1"/>
        <v>✅ Excellent</v>
      </c>
    </row>
    <row r="21" spans="1:8" x14ac:dyDescent="0.25">
      <c r="A21" s="64" t="s">
        <v>37</v>
      </c>
      <c r="B21" s="20">
        <f>COUNTIF('Flux logistiques'!C:C,A21)</f>
        <v>1</v>
      </c>
      <c r="C21" s="20">
        <f>AVERAGEIF('Flux logistiques'!C:C,A21,'Flux logistiques'!K:K)</f>
        <v>3</v>
      </c>
      <c r="D21" s="62">
        <f>AVERAGEIF('Flux logistiques'!C:C,A21,'Flux logistiques'!L:L)</f>
        <v>3</v>
      </c>
      <c r="E21" s="62">
        <f>AVERAGEIF('Flux logistiques'!C:C,A21,'Flux logistiques'!M:M)</f>
        <v>0</v>
      </c>
      <c r="F21" s="20">
        <f>COUNTIFS('Flux logistiques'!C:C,A21,'Flux logistiques'!N:N,"Oui")</f>
        <v>0</v>
      </c>
      <c r="G21" s="21">
        <f t="shared" si="0"/>
        <v>0</v>
      </c>
      <c r="H21" s="65" t="str">
        <f t="shared" si="1"/>
        <v>✅ Excellent</v>
      </c>
    </row>
    <row r="22" spans="1:8" x14ac:dyDescent="0.25">
      <c r="A22" s="24" t="s">
        <v>84</v>
      </c>
      <c r="B22" s="20">
        <f>COUNTIF('Flux logistiques'!C:C,A22)</f>
        <v>1</v>
      </c>
      <c r="C22" s="20">
        <f>AVERAGEIF('Flux logistiques'!C:C,A22,'Flux logistiques'!K:K)</f>
        <v>4</v>
      </c>
      <c r="D22" s="62">
        <f>AVERAGEIF('Flux logistiques'!C:C,A22,'Flux logistiques'!L:L)</f>
        <v>4</v>
      </c>
      <c r="E22" s="62">
        <f>AVERAGEIF('Flux logistiques'!C:C,A22,'Flux logistiques'!M:M)</f>
        <v>0</v>
      </c>
      <c r="F22" s="20">
        <f>COUNTIFS('Flux logistiques'!C:C,A22,'Flux logistiques'!N:N,"Oui")</f>
        <v>0</v>
      </c>
      <c r="G22" s="21">
        <f t="shared" si="0"/>
        <v>0</v>
      </c>
      <c r="H22" s="65" t="str">
        <f t="shared" si="1"/>
        <v>✅ Excellent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3F636-4D2E-4017-A582-BA2ADE628CF8}">
  <dimension ref="A1:L41"/>
  <sheetViews>
    <sheetView tabSelected="1" topLeftCell="A2" workbookViewId="0">
      <selection activeCell="E4" sqref="E4"/>
    </sheetView>
  </sheetViews>
  <sheetFormatPr baseColWidth="10" defaultRowHeight="15" x14ac:dyDescent="0.25"/>
  <cols>
    <col min="1" max="1" width="23.85546875" bestFit="1" customWidth="1"/>
    <col min="2" max="2" width="19" customWidth="1"/>
    <col min="3" max="3" width="23.28515625" bestFit="1" customWidth="1"/>
    <col min="4" max="4" width="14.5703125" bestFit="1" customWidth="1"/>
    <col min="11" max="11" width="11.5703125" bestFit="1" customWidth="1"/>
  </cols>
  <sheetData>
    <row r="1" spans="1:12" ht="15.75" x14ac:dyDescent="0.25">
      <c r="A1" s="32" t="s">
        <v>272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15.75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2" ht="36" x14ac:dyDescent="0.25">
      <c r="A3" s="1" t="s">
        <v>2</v>
      </c>
      <c r="B3" s="1" t="s">
        <v>273</v>
      </c>
      <c r="C3" s="1" t="s">
        <v>3</v>
      </c>
      <c r="D3" s="1" t="s">
        <v>274</v>
      </c>
      <c r="E3" s="1" t="s">
        <v>275</v>
      </c>
      <c r="F3" s="1" t="s">
        <v>276</v>
      </c>
      <c r="G3" s="1" t="s">
        <v>277</v>
      </c>
      <c r="H3" s="1" t="s">
        <v>278</v>
      </c>
      <c r="I3" s="1" t="s">
        <v>279</v>
      </c>
      <c r="J3" s="1" t="s">
        <v>280</v>
      </c>
      <c r="K3" s="1" t="s">
        <v>281</v>
      </c>
      <c r="L3" s="1" t="s">
        <v>282</v>
      </c>
    </row>
    <row r="4" spans="1:12" x14ac:dyDescent="0.25">
      <c r="A4" s="9" t="s">
        <v>20</v>
      </c>
      <c r="B4" s="9" t="s">
        <v>283</v>
      </c>
      <c r="C4" s="9" t="s">
        <v>21</v>
      </c>
      <c r="D4" s="69">
        <f>IF(A4=Inventaire!C2,Inventaire!M2,0)</f>
        <v>2</v>
      </c>
      <c r="E4" s="8">
        <v>75</v>
      </c>
      <c r="F4" s="8">
        <v>54</v>
      </c>
      <c r="G4" s="8">
        <v>7</v>
      </c>
      <c r="H4" s="8">
        <v>15</v>
      </c>
      <c r="I4" s="8">
        <v>25</v>
      </c>
      <c r="J4" s="8">
        <v>40</v>
      </c>
      <c r="K4" s="70">
        <v>447.2</v>
      </c>
      <c r="L4" s="6" t="s">
        <v>284</v>
      </c>
    </row>
    <row r="5" spans="1:12" x14ac:dyDescent="0.25">
      <c r="A5" s="3" t="s">
        <v>24</v>
      </c>
      <c r="B5" s="3" t="s">
        <v>283</v>
      </c>
      <c r="C5" s="3" t="s">
        <v>21</v>
      </c>
      <c r="D5" s="69">
        <f>IF(A5=Inventaire!C3,Inventaire!M3,0)</f>
        <v>2</v>
      </c>
      <c r="E5" s="2">
        <v>45</v>
      </c>
      <c r="F5" s="2">
        <v>45</v>
      </c>
      <c r="G5" s="2">
        <v>7</v>
      </c>
      <c r="H5" s="2">
        <v>11</v>
      </c>
      <c r="I5" s="2">
        <v>18</v>
      </c>
      <c r="J5" s="2">
        <v>30</v>
      </c>
      <c r="K5" s="71">
        <v>485.1</v>
      </c>
      <c r="L5" s="6" t="s">
        <v>284</v>
      </c>
    </row>
    <row r="6" spans="1:12" x14ac:dyDescent="0.25">
      <c r="A6" s="9" t="s">
        <v>26</v>
      </c>
      <c r="B6" s="9" t="s">
        <v>283</v>
      </c>
      <c r="C6" s="9" t="s">
        <v>27</v>
      </c>
      <c r="D6" s="69">
        <f>IF(A6=Inventaire!C4,Inventaire!M4,0)</f>
        <v>3</v>
      </c>
      <c r="E6" s="8">
        <v>115</v>
      </c>
      <c r="F6" s="8">
        <v>50</v>
      </c>
      <c r="G6" s="8">
        <v>7</v>
      </c>
      <c r="H6" s="8">
        <v>25</v>
      </c>
      <c r="I6" s="8">
        <v>42</v>
      </c>
      <c r="J6" s="8">
        <v>60</v>
      </c>
      <c r="K6" s="70">
        <v>268.8</v>
      </c>
      <c r="L6" s="6" t="s">
        <v>284</v>
      </c>
    </row>
    <row r="7" spans="1:12" x14ac:dyDescent="0.25">
      <c r="A7" s="3" t="s">
        <v>29</v>
      </c>
      <c r="B7" s="3" t="s">
        <v>283</v>
      </c>
      <c r="C7" s="3" t="s">
        <v>27</v>
      </c>
      <c r="D7" s="69">
        <f>IF(A7=Inventaire!C5,Inventaire!M5,0)</f>
        <v>3</v>
      </c>
      <c r="E7" s="2">
        <v>60</v>
      </c>
      <c r="F7" s="2">
        <v>29</v>
      </c>
      <c r="G7" s="2">
        <v>7</v>
      </c>
      <c r="H7" s="2">
        <v>22</v>
      </c>
      <c r="I7" s="2">
        <v>37</v>
      </c>
      <c r="J7" s="2">
        <v>50</v>
      </c>
      <c r="K7" s="71">
        <v>149</v>
      </c>
      <c r="L7" s="6" t="s">
        <v>284</v>
      </c>
    </row>
    <row r="8" spans="1:12" x14ac:dyDescent="0.25">
      <c r="A8" s="9" t="s">
        <v>285</v>
      </c>
      <c r="B8" s="9" t="s">
        <v>283</v>
      </c>
      <c r="C8" s="9" t="s">
        <v>21</v>
      </c>
      <c r="D8" s="69" t="e" cm="1" vm="1">
        <f t="array" aca="1" ref="D8" ca="1">IF(A8=Inventaire!C2:C50,Inventaire!M6,0)</f>
        <v>#VALUE!</v>
      </c>
      <c r="E8" s="8">
        <v>90</v>
      </c>
      <c r="F8" s="8">
        <v>47</v>
      </c>
      <c r="G8" s="8">
        <v>7</v>
      </c>
      <c r="H8" s="8">
        <v>20</v>
      </c>
      <c r="I8" s="8">
        <v>34</v>
      </c>
      <c r="J8" s="8">
        <v>45</v>
      </c>
      <c r="K8" s="70">
        <v>167.85</v>
      </c>
      <c r="L8" s="6" t="s">
        <v>284</v>
      </c>
    </row>
    <row r="9" spans="1:12" x14ac:dyDescent="0.25">
      <c r="A9" s="3" t="s">
        <v>33</v>
      </c>
      <c r="B9" s="3" t="s">
        <v>283</v>
      </c>
      <c r="C9" s="3" t="s">
        <v>27</v>
      </c>
      <c r="D9" s="69">
        <f>IF(A9=Inventaire!C7,Inventaire!M7,0)</f>
        <v>1</v>
      </c>
      <c r="E9" s="2">
        <v>17</v>
      </c>
      <c r="F9" s="2">
        <v>28</v>
      </c>
      <c r="G9" s="2">
        <v>7</v>
      </c>
      <c r="H9" s="2">
        <v>6</v>
      </c>
      <c r="I9" s="2">
        <v>11</v>
      </c>
      <c r="J9" s="2">
        <v>20</v>
      </c>
      <c r="K9" s="71">
        <v>422.6</v>
      </c>
      <c r="L9" s="6" t="s">
        <v>284</v>
      </c>
    </row>
    <row r="10" spans="1:12" x14ac:dyDescent="0.25">
      <c r="A10" s="9" t="s">
        <v>286</v>
      </c>
      <c r="B10" s="9" t="s">
        <v>35</v>
      </c>
      <c r="C10" s="9" t="s">
        <v>37</v>
      </c>
      <c r="D10" s="69">
        <f>IF(A10=Inventaire!C8,Inventaire!M8,0)</f>
        <v>0</v>
      </c>
      <c r="E10" s="8">
        <v>140</v>
      </c>
      <c r="F10" s="8">
        <v>31</v>
      </c>
      <c r="G10" s="8">
        <v>3</v>
      </c>
      <c r="H10" s="8">
        <v>20</v>
      </c>
      <c r="I10" s="8">
        <v>34</v>
      </c>
      <c r="J10" s="8">
        <v>80</v>
      </c>
      <c r="K10" s="70">
        <v>69.599999999999994</v>
      </c>
      <c r="L10" s="6" t="s">
        <v>284</v>
      </c>
    </row>
    <row r="11" spans="1:12" x14ac:dyDescent="0.25">
      <c r="A11" s="3" t="s">
        <v>287</v>
      </c>
      <c r="B11" s="3" t="s">
        <v>35</v>
      </c>
      <c r="C11" s="3" t="s">
        <v>41</v>
      </c>
      <c r="D11" s="69">
        <f>IF(A11=Inventaire!C9,Inventaire!M9,0)</f>
        <v>0</v>
      </c>
      <c r="E11" s="2">
        <v>110</v>
      </c>
      <c r="F11" s="2">
        <v>28</v>
      </c>
      <c r="G11" s="2">
        <v>3</v>
      </c>
      <c r="H11" s="2">
        <v>18</v>
      </c>
      <c r="I11" s="2">
        <v>30</v>
      </c>
      <c r="J11" s="2">
        <v>70</v>
      </c>
      <c r="K11" s="71">
        <v>60.9</v>
      </c>
      <c r="L11" s="6" t="s">
        <v>284</v>
      </c>
    </row>
    <row r="12" spans="1:12" x14ac:dyDescent="0.25">
      <c r="A12" s="9" t="s">
        <v>288</v>
      </c>
      <c r="B12" s="9" t="s">
        <v>35</v>
      </c>
      <c r="C12" s="9" t="s">
        <v>41</v>
      </c>
      <c r="D12" s="69">
        <f>IF(A12=Inventaire!C10,Inventaire!M10,0)</f>
        <v>0</v>
      </c>
      <c r="E12" s="8">
        <v>85</v>
      </c>
      <c r="F12" s="8">
        <v>27</v>
      </c>
      <c r="G12" s="8">
        <v>3</v>
      </c>
      <c r="H12" s="8">
        <v>14</v>
      </c>
      <c r="I12" s="8">
        <v>24</v>
      </c>
      <c r="J12" s="8">
        <v>60</v>
      </c>
      <c r="K12" s="70">
        <v>48</v>
      </c>
      <c r="L12" s="6" t="s">
        <v>284</v>
      </c>
    </row>
    <row r="13" spans="1:12" x14ac:dyDescent="0.25">
      <c r="A13" s="3" t="s">
        <v>45</v>
      </c>
      <c r="B13" s="3" t="s">
        <v>35</v>
      </c>
      <c r="C13" s="3" t="s">
        <v>46</v>
      </c>
      <c r="D13" s="69">
        <f>IF(A13=Inventaire!C11,Inventaire!M11,0)</f>
        <v>3</v>
      </c>
      <c r="E13" s="2">
        <v>70</v>
      </c>
      <c r="F13" s="2">
        <v>26</v>
      </c>
      <c r="G13" s="2">
        <v>3</v>
      </c>
      <c r="H13" s="2">
        <v>12</v>
      </c>
      <c r="I13" s="2">
        <v>21</v>
      </c>
      <c r="J13" s="2">
        <v>50</v>
      </c>
      <c r="K13" s="71">
        <v>31</v>
      </c>
      <c r="L13" s="6" t="s">
        <v>284</v>
      </c>
    </row>
    <row r="14" spans="1:12" x14ac:dyDescent="0.25">
      <c r="A14" s="9" t="s">
        <v>55</v>
      </c>
      <c r="B14" s="9" t="s">
        <v>35</v>
      </c>
      <c r="C14" s="9" t="s">
        <v>56</v>
      </c>
      <c r="D14" s="69">
        <f>IF(A14=Inventaire!C12,Inventaire!M12,0)</f>
        <v>0</v>
      </c>
      <c r="E14" s="8">
        <v>220</v>
      </c>
      <c r="F14" s="8">
        <v>36</v>
      </c>
      <c r="G14" s="8">
        <v>2</v>
      </c>
      <c r="H14" s="8">
        <v>18</v>
      </c>
      <c r="I14" s="8">
        <v>31</v>
      </c>
      <c r="J14" s="8">
        <v>100</v>
      </c>
      <c r="K14" s="70">
        <v>30</v>
      </c>
      <c r="L14" s="6" t="s">
        <v>284</v>
      </c>
    </row>
    <row r="15" spans="1:12" x14ac:dyDescent="0.25">
      <c r="A15" s="3" t="s">
        <v>58</v>
      </c>
      <c r="B15" s="3" t="s">
        <v>35</v>
      </c>
      <c r="C15" s="3" t="s">
        <v>56</v>
      </c>
      <c r="D15" s="69">
        <f>IF(A15=Inventaire!C13,Inventaire!M13,0)</f>
        <v>0</v>
      </c>
      <c r="E15" s="2">
        <v>160</v>
      </c>
      <c r="F15" s="2">
        <v>34</v>
      </c>
      <c r="G15" s="2">
        <v>2</v>
      </c>
      <c r="H15" s="2">
        <v>14</v>
      </c>
      <c r="I15" s="2">
        <v>24</v>
      </c>
      <c r="J15" s="2">
        <v>80</v>
      </c>
      <c r="K15" s="71">
        <v>36</v>
      </c>
      <c r="L15" s="6" t="s">
        <v>284</v>
      </c>
    </row>
    <row r="16" spans="1:12" x14ac:dyDescent="0.25">
      <c r="A16" s="9" t="s">
        <v>289</v>
      </c>
      <c r="B16" s="9" t="s">
        <v>35</v>
      </c>
      <c r="C16" s="9" t="s">
        <v>61</v>
      </c>
      <c r="D16" s="69">
        <f>IF(A16=Inventaire!C14,Inventaire!M14,0)</f>
        <v>0</v>
      </c>
      <c r="E16" s="8">
        <v>28</v>
      </c>
      <c r="F16" s="8">
        <v>23</v>
      </c>
      <c r="G16" s="8">
        <v>5</v>
      </c>
      <c r="H16" s="8">
        <v>9</v>
      </c>
      <c r="I16" s="8">
        <v>15</v>
      </c>
      <c r="J16" s="8">
        <v>20</v>
      </c>
      <c r="K16" s="70">
        <v>89.6</v>
      </c>
      <c r="L16" s="6" t="s">
        <v>284</v>
      </c>
    </row>
    <row r="17" spans="1:12" x14ac:dyDescent="0.25">
      <c r="A17" s="3" t="s">
        <v>290</v>
      </c>
      <c r="B17" s="3" t="s">
        <v>35</v>
      </c>
      <c r="C17" s="3" t="s">
        <v>64</v>
      </c>
      <c r="D17" s="69">
        <f>IF(A17=Inventaire!C15,Inventaire!M15,0)</f>
        <v>0</v>
      </c>
      <c r="E17" s="2">
        <v>20</v>
      </c>
      <c r="F17" s="2">
        <v>22</v>
      </c>
      <c r="G17" s="2">
        <v>7</v>
      </c>
      <c r="H17" s="2">
        <v>9</v>
      </c>
      <c r="I17" s="2">
        <v>16</v>
      </c>
      <c r="J17" s="2">
        <v>25</v>
      </c>
      <c r="K17" s="71">
        <v>93</v>
      </c>
      <c r="L17" s="6" t="s">
        <v>284</v>
      </c>
    </row>
    <row r="18" spans="1:12" x14ac:dyDescent="0.25">
      <c r="A18" s="9" t="s">
        <v>291</v>
      </c>
      <c r="B18" s="9" t="s">
        <v>66</v>
      </c>
      <c r="C18" s="9" t="s">
        <v>68</v>
      </c>
      <c r="D18" s="69">
        <f>IF(A18=Inventaire!C16,Inventaire!M16,0)</f>
        <v>0</v>
      </c>
      <c r="E18" s="8">
        <v>2</v>
      </c>
      <c r="F18" s="8">
        <v>2</v>
      </c>
      <c r="G18" s="8">
        <v>1</v>
      </c>
      <c r="H18" s="8">
        <v>3</v>
      </c>
      <c r="I18" s="8">
        <v>4</v>
      </c>
      <c r="J18" s="8">
        <v>15</v>
      </c>
      <c r="K18" s="70">
        <v>11.25</v>
      </c>
      <c r="L18" s="6" t="s">
        <v>284</v>
      </c>
    </row>
    <row r="19" spans="1:12" x14ac:dyDescent="0.25">
      <c r="A19" s="3" t="s">
        <v>94</v>
      </c>
      <c r="B19" s="3" t="s">
        <v>66</v>
      </c>
      <c r="C19" s="3" t="s">
        <v>68</v>
      </c>
      <c r="D19" s="69">
        <f>IF(A19=Inventaire!C17,Inventaire!M17,0)</f>
        <v>0</v>
      </c>
      <c r="E19" s="2">
        <v>5</v>
      </c>
      <c r="F19" s="2">
        <v>8</v>
      </c>
      <c r="G19" s="2">
        <v>1</v>
      </c>
      <c r="H19" s="2">
        <v>2</v>
      </c>
      <c r="I19" s="2">
        <v>3</v>
      </c>
      <c r="J19" s="2">
        <v>12</v>
      </c>
      <c r="K19" s="71">
        <v>6</v>
      </c>
      <c r="L19" s="6" t="s">
        <v>284</v>
      </c>
    </row>
    <row r="20" spans="1:12" x14ac:dyDescent="0.25">
      <c r="A20" s="9" t="s">
        <v>292</v>
      </c>
      <c r="B20" s="9" t="s">
        <v>66</v>
      </c>
      <c r="C20" s="9" t="s">
        <v>68</v>
      </c>
      <c r="D20" s="69">
        <f>IF(A20=Inventaire!C18,Inventaire!M18,0)</f>
        <v>0</v>
      </c>
      <c r="E20" s="8">
        <v>35</v>
      </c>
      <c r="F20" s="8">
        <v>50</v>
      </c>
      <c r="G20" s="8">
        <v>1</v>
      </c>
      <c r="H20" s="8">
        <v>2</v>
      </c>
      <c r="I20" s="8">
        <v>3</v>
      </c>
      <c r="J20" s="8">
        <v>15</v>
      </c>
      <c r="K20" s="70">
        <v>9.3000000000000007</v>
      </c>
      <c r="L20" s="6" t="s">
        <v>284</v>
      </c>
    </row>
    <row r="21" spans="1:12" x14ac:dyDescent="0.25">
      <c r="A21" s="3" t="s">
        <v>293</v>
      </c>
      <c r="B21" s="3" t="s">
        <v>66</v>
      </c>
      <c r="C21" s="3" t="s">
        <v>72</v>
      </c>
      <c r="D21" s="69">
        <f>IF(A21=Inventaire!C19,Inventaire!M19,0)</f>
        <v>0</v>
      </c>
      <c r="E21" s="2">
        <v>50</v>
      </c>
      <c r="F21" s="2">
        <v>45</v>
      </c>
      <c r="G21" s="2">
        <v>2</v>
      </c>
      <c r="H21" s="2">
        <v>3</v>
      </c>
      <c r="I21" s="2">
        <v>6</v>
      </c>
      <c r="J21" s="2">
        <v>30</v>
      </c>
      <c r="K21" s="71">
        <v>13.5</v>
      </c>
      <c r="L21" s="6" t="s">
        <v>284</v>
      </c>
    </row>
    <row r="22" spans="1:12" x14ac:dyDescent="0.25">
      <c r="A22" s="9" t="s">
        <v>76</v>
      </c>
      <c r="B22" s="9" t="s">
        <v>66</v>
      </c>
      <c r="C22" s="9" t="s">
        <v>77</v>
      </c>
      <c r="D22" s="69">
        <f>IF(A22=Inventaire!C20,Inventaire!M20,0)</f>
        <v>0</v>
      </c>
      <c r="E22" s="8">
        <v>25</v>
      </c>
      <c r="F22" s="8">
        <v>42</v>
      </c>
      <c r="G22" s="8">
        <v>3</v>
      </c>
      <c r="H22" s="8">
        <v>3</v>
      </c>
      <c r="I22" s="8">
        <v>5</v>
      </c>
      <c r="J22" s="8">
        <v>15</v>
      </c>
      <c r="K22" s="70">
        <v>24.15</v>
      </c>
      <c r="L22" s="6" t="s">
        <v>284</v>
      </c>
    </row>
    <row r="23" spans="1:12" x14ac:dyDescent="0.25">
      <c r="A23" s="3" t="s">
        <v>80</v>
      </c>
      <c r="B23" s="3" t="s">
        <v>66</v>
      </c>
      <c r="C23" s="3" t="s">
        <v>81</v>
      </c>
      <c r="D23" s="69">
        <f>IF(A23=Inventaire!C21,Inventaire!M21,0)</f>
        <v>0</v>
      </c>
      <c r="E23" s="2">
        <v>60</v>
      </c>
      <c r="F23" s="2">
        <v>40</v>
      </c>
      <c r="G23" s="2">
        <v>3</v>
      </c>
      <c r="H23" s="2">
        <v>7</v>
      </c>
      <c r="I23" s="2">
        <v>12</v>
      </c>
      <c r="J23" s="2">
        <v>30</v>
      </c>
      <c r="K23" s="71">
        <v>24</v>
      </c>
      <c r="L23" s="6" t="s">
        <v>284</v>
      </c>
    </row>
    <row r="24" spans="1:12" x14ac:dyDescent="0.25">
      <c r="A24" s="9" t="s">
        <v>294</v>
      </c>
      <c r="B24" s="9" t="s">
        <v>66</v>
      </c>
      <c r="C24" s="9" t="s">
        <v>84</v>
      </c>
      <c r="D24" s="69">
        <f>IF(A24=Inventaire!C22,Inventaire!M22,0)</f>
        <v>0</v>
      </c>
      <c r="E24" s="8">
        <v>7</v>
      </c>
      <c r="F24" s="8">
        <v>70</v>
      </c>
      <c r="G24" s="8">
        <v>4</v>
      </c>
      <c r="H24" s="8">
        <v>1</v>
      </c>
      <c r="I24" s="8">
        <v>2</v>
      </c>
      <c r="J24" s="8">
        <v>5</v>
      </c>
      <c r="K24" s="70">
        <v>27.35</v>
      </c>
      <c r="L24" s="6" t="s">
        <v>284</v>
      </c>
    </row>
    <row r="25" spans="1:12" x14ac:dyDescent="0.25">
      <c r="A25" s="3" t="s">
        <v>295</v>
      </c>
      <c r="B25" s="3" t="s">
        <v>66</v>
      </c>
      <c r="C25" s="3" t="s">
        <v>97</v>
      </c>
      <c r="D25" s="69">
        <f>IF(A25=Inventaire!C23,Inventaire!M23,0)</f>
        <v>0</v>
      </c>
      <c r="E25" s="2">
        <v>22</v>
      </c>
      <c r="F25" s="2">
        <v>37</v>
      </c>
      <c r="G25" s="2">
        <v>2</v>
      </c>
      <c r="H25" s="2">
        <v>2</v>
      </c>
      <c r="I25" s="2">
        <v>4</v>
      </c>
      <c r="J25" s="2">
        <v>15</v>
      </c>
      <c r="K25" s="71">
        <v>44.7</v>
      </c>
      <c r="L25" s="6" t="s">
        <v>284</v>
      </c>
    </row>
    <row r="26" spans="1:12" x14ac:dyDescent="0.25">
      <c r="A26" s="9" t="s">
        <v>112</v>
      </c>
      <c r="B26" s="9" t="s">
        <v>296</v>
      </c>
      <c r="C26" s="9" t="s">
        <v>77</v>
      </c>
      <c r="D26" s="69">
        <f>IF(A26=Inventaire!C24,Inventaire!M24,0)</f>
        <v>0</v>
      </c>
      <c r="E26" s="8">
        <v>220</v>
      </c>
      <c r="F26" s="8">
        <v>29</v>
      </c>
      <c r="G26" s="8">
        <v>3</v>
      </c>
      <c r="H26" s="8">
        <v>32</v>
      </c>
      <c r="I26" s="8">
        <v>56</v>
      </c>
      <c r="J26" s="8">
        <v>120</v>
      </c>
      <c r="K26" s="70">
        <v>24</v>
      </c>
      <c r="L26" s="6" t="s">
        <v>284</v>
      </c>
    </row>
    <row r="27" spans="1:12" x14ac:dyDescent="0.25">
      <c r="A27" s="3" t="s">
        <v>297</v>
      </c>
      <c r="B27" s="3" t="s">
        <v>296</v>
      </c>
      <c r="C27" s="3" t="s">
        <v>116</v>
      </c>
      <c r="D27" s="69">
        <f>IF(A27=Inventaire!C25,Inventaire!M25,0)</f>
        <v>0</v>
      </c>
      <c r="E27" s="2">
        <v>110</v>
      </c>
      <c r="F27" s="2">
        <v>23</v>
      </c>
      <c r="G27" s="2">
        <v>4</v>
      </c>
      <c r="H27" s="2">
        <v>28</v>
      </c>
      <c r="I27" s="2">
        <v>47</v>
      </c>
      <c r="J27" s="2">
        <v>80</v>
      </c>
      <c r="K27" s="71">
        <v>49.6</v>
      </c>
      <c r="L27" s="6" t="s">
        <v>284</v>
      </c>
    </row>
    <row r="28" spans="1:12" x14ac:dyDescent="0.25">
      <c r="A28" s="9" t="s">
        <v>118</v>
      </c>
      <c r="B28" s="9" t="s">
        <v>296</v>
      </c>
      <c r="C28" s="9" t="s">
        <v>116</v>
      </c>
      <c r="D28" s="69">
        <f>IF(A28=Inventaire!C26,Inventaire!M26,0)</f>
        <v>0</v>
      </c>
      <c r="E28" s="8">
        <v>90</v>
      </c>
      <c r="F28" s="8">
        <v>23</v>
      </c>
      <c r="G28" s="8">
        <v>4</v>
      </c>
      <c r="H28" s="8">
        <v>23</v>
      </c>
      <c r="I28" s="8">
        <v>39</v>
      </c>
      <c r="J28" s="8">
        <v>70</v>
      </c>
      <c r="K28" s="70">
        <v>112.7</v>
      </c>
      <c r="L28" s="6" t="s">
        <v>284</v>
      </c>
    </row>
    <row r="29" spans="1:12" x14ac:dyDescent="0.25">
      <c r="A29" s="3" t="s">
        <v>120</v>
      </c>
      <c r="B29" s="3" t="s">
        <v>296</v>
      </c>
      <c r="C29" s="3" t="s">
        <v>116</v>
      </c>
      <c r="D29" s="69">
        <f>IF(A29=Inventaire!C27,Inventaire!M27,0)</f>
        <v>0</v>
      </c>
      <c r="E29" s="2">
        <v>75</v>
      </c>
      <c r="F29" s="2">
        <v>24</v>
      </c>
      <c r="G29" s="2">
        <v>4</v>
      </c>
      <c r="H29" s="2">
        <v>18</v>
      </c>
      <c r="I29" s="2">
        <v>31</v>
      </c>
      <c r="J29" s="2">
        <v>60</v>
      </c>
      <c r="K29" s="71">
        <v>89.4</v>
      </c>
      <c r="L29" s="6" t="s">
        <v>284</v>
      </c>
    </row>
    <row r="30" spans="1:12" x14ac:dyDescent="0.25">
      <c r="A30" s="9" t="s">
        <v>298</v>
      </c>
      <c r="B30" s="9" t="s">
        <v>296</v>
      </c>
      <c r="C30" s="9" t="s">
        <v>110</v>
      </c>
      <c r="D30" s="69">
        <f>IF(A30=Inventaire!C28,Inventaire!M28,0)</f>
        <v>0</v>
      </c>
      <c r="E30" s="8">
        <v>12</v>
      </c>
      <c r="F30" s="8">
        <v>24</v>
      </c>
      <c r="G30" s="8">
        <v>3</v>
      </c>
      <c r="H30" s="8">
        <v>2</v>
      </c>
      <c r="I30" s="8">
        <v>4</v>
      </c>
      <c r="J30" s="8">
        <v>10</v>
      </c>
      <c r="K30" s="70">
        <v>29.8</v>
      </c>
      <c r="L30" s="6" t="s">
        <v>284</v>
      </c>
    </row>
    <row r="31" spans="1:12" x14ac:dyDescent="0.25">
      <c r="A31" s="3" t="s">
        <v>125</v>
      </c>
      <c r="B31" s="3" t="s">
        <v>296</v>
      </c>
      <c r="C31" s="3" t="s">
        <v>104</v>
      </c>
      <c r="D31" s="69">
        <f>IF(A31=Inventaire!C29,Inventaire!M29,0)</f>
        <v>0</v>
      </c>
      <c r="E31" s="2">
        <v>22</v>
      </c>
      <c r="F31" s="2">
        <v>24</v>
      </c>
      <c r="G31" s="2">
        <v>3</v>
      </c>
      <c r="H31" s="2">
        <v>4</v>
      </c>
      <c r="I31" s="2">
        <v>7</v>
      </c>
      <c r="J31" s="2">
        <v>15</v>
      </c>
      <c r="K31" s="71">
        <v>26.1</v>
      </c>
      <c r="L31" s="6" t="s">
        <v>284</v>
      </c>
    </row>
    <row r="32" spans="1:12" x14ac:dyDescent="0.25">
      <c r="A32" s="9" t="s">
        <v>130</v>
      </c>
      <c r="B32" s="9" t="s">
        <v>299</v>
      </c>
      <c r="C32" s="9" t="s">
        <v>131</v>
      </c>
      <c r="D32" s="69">
        <f>IF(A32=Inventaire!C30,Inventaire!M30,0)</f>
        <v>0</v>
      </c>
      <c r="E32" s="8">
        <v>75</v>
      </c>
      <c r="F32" s="8">
        <v>107</v>
      </c>
      <c r="G32" s="8">
        <v>5</v>
      </c>
      <c r="H32" s="8">
        <v>5</v>
      </c>
      <c r="I32" s="8">
        <v>9</v>
      </c>
      <c r="J32" s="8">
        <v>20</v>
      </c>
      <c r="K32" s="70">
        <v>42.2</v>
      </c>
      <c r="L32" s="6" t="s">
        <v>284</v>
      </c>
    </row>
    <row r="33" spans="1:12" x14ac:dyDescent="0.25">
      <c r="A33" s="3" t="s">
        <v>300</v>
      </c>
      <c r="B33" s="3" t="s">
        <v>139</v>
      </c>
      <c r="C33" s="3" t="s">
        <v>141</v>
      </c>
      <c r="D33" s="69">
        <f>IF(A33=Inventaire!C31,Inventaire!M31,0)</f>
        <v>0</v>
      </c>
      <c r="E33" s="2">
        <v>65</v>
      </c>
      <c r="F33" s="2">
        <v>22</v>
      </c>
      <c r="G33" s="2">
        <v>4</v>
      </c>
      <c r="H33" s="2">
        <v>18</v>
      </c>
      <c r="I33" s="2">
        <v>30</v>
      </c>
      <c r="J33" s="2">
        <v>40</v>
      </c>
      <c r="K33" s="71">
        <v>12</v>
      </c>
      <c r="L33" s="6" t="s">
        <v>284</v>
      </c>
    </row>
    <row r="34" spans="1:12" x14ac:dyDescent="0.25">
      <c r="A34" s="9" t="s">
        <v>301</v>
      </c>
      <c r="B34" s="9" t="s">
        <v>139</v>
      </c>
      <c r="C34" s="9" t="s">
        <v>141</v>
      </c>
      <c r="D34" s="69">
        <f>IF(A34=Inventaire!C32,Inventaire!M32,0)</f>
        <v>0</v>
      </c>
      <c r="E34" s="8">
        <v>48</v>
      </c>
      <c r="F34" s="8">
        <v>21</v>
      </c>
      <c r="G34" s="8">
        <v>4</v>
      </c>
      <c r="H34" s="8">
        <v>14</v>
      </c>
      <c r="I34" s="8">
        <v>24</v>
      </c>
      <c r="J34" s="8">
        <v>35</v>
      </c>
      <c r="K34" s="70">
        <v>30.45</v>
      </c>
      <c r="L34" s="6" t="s">
        <v>284</v>
      </c>
    </row>
    <row r="35" spans="1:12" x14ac:dyDescent="0.25">
      <c r="A35" s="3" t="s">
        <v>149</v>
      </c>
      <c r="B35" s="3" t="s">
        <v>139</v>
      </c>
      <c r="C35" s="3" t="s">
        <v>141</v>
      </c>
      <c r="D35" s="69">
        <f>IF(A35=Inventaire!C33,Inventaire!M33,0)</f>
        <v>0</v>
      </c>
      <c r="E35" s="2">
        <v>20</v>
      </c>
      <c r="F35" s="2">
        <v>4</v>
      </c>
      <c r="G35" s="2">
        <v>4</v>
      </c>
      <c r="H35" s="2">
        <v>27</v>
      </c>
      <c r="I35" s="2">
        <v>45</v>
      </c>
      <c r="J35" s="2">
        <v>60</v>
      </c>
      <c r="K35" s="71">
        <v>30</v>
      </c>
      <c r="L35" s="14" t="s">
        <v>302</v>
      </c>
    </row>
    <row r="36" spans="1:12" x14ac:dyDescent="0.25">
      <c r="A36" s="60" t="s">
        <v>153</v>
      </c>
      <c r="B36" s="59"/>
      <c r="C36" s="59"/>
      <c r="D36" s="69">
        <f>IF(A36=Inventaire!C34,Inventaire!M34,0)</f>
        <v>0</v>
      </c>
      <c r="E36" s="59"/>
      <c r="F36" s="59">
        <v>34</v>
      </c>
      <c r="G36" s="59"/>
      <c r="H36" s="59"/>
      <c r="I36" s="59"/>
      <c r="J36" s="59">
        <v>1377</v>
      </c>
      <c r="K36" s="72">
        <v>3005.15</v>
      </c>
      <c r="L36" s="59"/>
    </row>
    <row r="38" spans="1:12" x14ac:dyDescent="0.25">
      <c r="A38" s="73" t="s">
        <v>303</v>
      </c>
    </row>
    <row r="39" spans="1:12" x14ac:dyDescent="0.25">
      <c r="A39" s="14" t="s">
        <v>302</v>
      </c>
      <c r="B39" s="74" t="s">
        <v>304</v>
      </c>
    </row>
    <row r="40" spans="1:12" x14ac:dyDescent="0.25">
      <c r="A40" s="12" t="s">
        <v>305</v>
      </c>
      <c r="B40" s="74" t="s">
        <v>306</v>
      </c>
    </row>
    <row r="41" spans="1:12" x14ac:dyDescent="0.25">
      <c r="A41" s="6" t="s">
        <v>284</v>
      </c>
      <c r="B41" s="74" t="s">
        <v>307</v>
      </c>
    </row>
  </sheetData>
  <mergeCells count="1">
    <mergeCell ref="A1:L1"/>
  </mergeCells>
  <pageMargins left="0.7" right="0.7" top="0.75" bottom="0.75" header="0.3" footer="0.3"/>
  <ignoredErrors>
    <ignoredError sqref="D8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Inventaire</vt:lpstr>
      <vt:lpstr>Évolution stocks</vt:lpstr>
      <vt:lpstr>Fournisseurs</vt:lpstr>
      <vt:lpstr>Flux logistiques</vt:lpstr>
      <vt:lpstr>Analyse fournisseurs</vt:lpstr>
      <vt:lpstr>Optimisation approvisionnement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Phillip MUWONGE</cp:lastModifiedBy>
  <cp:revision>0</cp:revision>
  <dcterms:created xsi:type="dcterms:W3CDTF">2026-05-26T13:02:21Z</dcterms:created>
  <dcterms:modified xsi:type="dcterms:W3CDTF">2026-05-29T03:12:56Z</dcterms:modified>
  <dc:language>en-US</dc:language>
</cp:coreProperties>
</file>